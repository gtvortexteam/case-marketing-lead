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1_{6F590803-557F-40AE-8AFD-04324287812C}" xr6:coauthVersionLast="47" xr6:coauthVersionMax="47" xr10:uidLastSave="{00000000-0000-0000-0000-000000000000}"/>
  <bookViews>
    <workbookView xWindow="-108" yWindow="-108" windowWidth="24792" windowHeight="13320" xr2:uid="{00000000-000D-0000-FFFF-FFFF00000000}"/>
  </bookViews>
  <sheets>
    <sheet name="Структура" sheetId="1" r:id="rId1"/>
    <sheet name="Маски" sheetId="2" r:id="rId2"/>
    <sheet name="Ключи" sheetId="3" r:id="rId3"/>
    <sheet name="Минус-слова" sheetId="4" r:id="rId4"/>
    <sheet name="Ключи 2-11" sheetId="5" r:id="rId5"/>
    <sheet name="Минус 2-11" sheetId="6" r:id="rId6"/>
    <sheet name="Unit-экономика" sheetId="7" r:id="rId7"/>
  </sheets>
  <calcPr calcId="181029"/>
</workbook>
</file>

<file path=xl/calcChain.xml><?xml version="1.0" encoding="utf-8"?>
<calcChain xmlns="http://schemas.openxmlformats.org/spreadsheetml/2006/main">
  <c r="B55" i="7" l="1"/>
  <c r="B35" i="7"/>
  <c r="B36" i="7" s="1"/>
  <c r="B37" i="7" s="1"/>
  <c r="B34" i="7"/>
  <c r="B26" i="7"/>
  <c r="B27" i="7" s="1"/>
  <c r="B54" i="7" s="1"/>
  <c r="B24" i="7"/>
  <c r="B25" i="7" s="1"/>
  <c r="B22" i="7"/>
  <c r="B23" i="7" s="1"/>
  <c r="F13" i="1"/>
  <c r="B56" i="7" l="1"/>
  <c r="B28" i="7"/>
  <c r="B29" i="7" s="1"/>
  <c r="B38" i="7"/>
  <c r="B31" i="7"/>
  <c r="B30" i="7"/>
  <c r="B44" i="7"/>
  <c r="F44" i="7" s="1"/>
  <c r="B45" i="7"/>
  <c r="F45" i="7" s="1"/>
  <c r="B46" i="7"/>
  <c r="F46" i="7" s="1"/>
  <c r="B47" i="7"/>
  <c r="F47" i="7" s="1"/>
  <c r="B39" i="7" l="1"/>
  <c r="B40" i="7" s="1"/>
  <c r="C44" i="7"/>
  <c r="D44" i="7"/>
  <c r="E44" i="7"/>
  <c r="C45" i="7"/>
  <c r="D45" i="7"/>
  <c r="E45" i="7"/>
  <c r="C46" i="7"/>
  <c r="D46" i="7"/>
  <c r="E46" i="7"/>
  <c r="C47" i="7"/>
  <c r="D47" i="7"/>
  <c r="E47" i="7"/>
</calcChain>
</file>

<file path=xl/sharedStrings.xml><?xml version="1.0" encoding="utf-8"?>
<sst xmlns="http://schemas.openxmlformats.org/spreadsheetml/2006/main" count="871" uniqueCount="423">
  <si>
    <t>#</t>
  </si>
  <si>
    <t>Кампания</t>
  </si>
  <si>
    <t>Тип</t>
  </si>
  <si>
    <t>Посадочная страница</t>
  </si>
  <si>
    <t>Старт, неделя от запуска</t>
  </si>
  <si>
    <t>Бюджет первых 4 недель после запуска, $</t>
  </si>
  <si>
    <t>Покупка USDT за рубли</t>
  </si>
  <si>
    <t>поиск</t>
  </si>
  <si>
    <t>калькулятор покупки /kupit/usdt/, лендинг из раздела 2.5</t>
  </si>
  <si>
    <t>неделя 1</t>
  </si>
  <si>
    <t>Обменник и «купить криптовалюту»</t>
  </si>
  <si>
    <t>главная /</t>
  </si>
  <si>
    <t>Крупные суммы</t>
  </si>
  <si>
    <t>страница «от 1 млн ₽» с личным менеджером /krupnye-summy/; потолок спроса ≈ 100 $ в месяц</t>
  </si>
  <si>
    <t>Ретаргетинг по этапам воронки</t>
  </si>
  <si>
    <t>РСЯ</t>
  </si>
  <si>
    <t>этап, на котором клиент остановился</t>
  </si>
  <si>
    <t>Продажа и вывод USDT</t>
  </si>
  <si>
    <t>калькулятор продажи /prodat/usdt/</t>
  </si>
  <si>
    <t>неделя 2</t>
  </si>
  <si>
    <t>Курс USDT к рублю</t>
  </si>
  <si>
    <t>поиск, низкая ставка</t>
  </si>
  <si>
    <t>страница курса с калькулятором /kurs/usdt-rub/</t>
  </si>
  <si>
    <t>BTC и ETH</t>
  </si>
  <si>
    <t>по группам: /kupit/bitcoin/ и /kupit/ethereum/</t>
  </si>
  <si>
    <t>месяц 2</t>
  </si>
  <si>
    <t>по гейтам</t>
  </si>
  <si>
    <t>Карта для оплаты за границей</t>
  </si>
  <si>
    <t>страница карты /karta/</t>
  </si>
  <si>
    <t>Похожие на крупных клиентов</t>
  </si>
  <si>
    <t>страница крупных сумм /krupnye-summy/</t>
  </si>
  <si>
    <t>месяц 2, сегмент из CRM</t>
  </si>
  <si>
    <t>Бренд</t>
  </si>
  <si>
    <t>с появлением бренда</t>
  </si>
  <si>
    <t>Закон и легальность</t>
  </si>
  <si>
    <t>гайды хаба /zakon/ со входом в калькулятор</t>
  </si>
  <si>
    <t>Итого первые 4 недели после запуска</t>
  </si>
  <si>
    <t>Маска</t>
  </si>
  <si>
    <t>Частота, Россия, 26.08-24.09.2026</t>
  </si>
  <si>
    <t>Что внутри и куда идёт</t>
  </si>
  <si>
    <t>купить usdt</t>
  </si>
  <si>
    <t>ядро кампании 1</t>
  </si>
  <si>
    <t>покупка usdt</t>
  </si>
  <si>
    <t>юсдт</t>
  </si>
  <si>
    <t>в основном курс; коммерческие хвосты в кампанию 1</t>
  </si>
  <si>
    <t>купить усдт</t>
  </si>
  <si>
    <t>транслит, кампания 1</t>
  </si>
  <si>
    <t>купить tether</t>
  </si>
  <si>
    <t>название монеты, есть мусор</t>
  </si>
  <si>
    <t>usdt сбп</t>
  </si>
  <si>
    <t>покупка в кампанию 1, вывод в кампанию 5</t>
  </si>
  <si>
    <t>обмен usdt</t>
  </si>
  <si>
    <t>рубли на USDT в кампанию 1, обратный в кампанию 5, запрос без направления в кампанию 2</t>
  </si>
  <si>
    <t>обменник usdt</t>
  </si>
  <si>
    <t>кампания 2, покупка через обменник в кампанию 1</t>
  </si>
  <si>
    <t>usdt рубли</t>
  </si>
  <si>
    <t>покупка в кампанию 1, суммы в кампанию 3, курс в кампанию 6</t>
  </si>
  <si>
    <t>otc usdt</t>
  </si>
  <si>
    <t>спроса почти нет, крупных ищем по сумме в запросе</t>
  </si>
  <si>
    <t>обменник криптовалют</t>
  </si>
  <si>
    <t>кампания 2, главная</t>
  </si>
  <si>
    <t>продать usdt</t>
  </si>
  <si>
    <t>кампания 5</t>
  </si>
  <si>
    <t>курс usdt</t>
  </si>
  <si>
    <t>кампания 6</t>
  </si>
  <si>
    <t>купить биткоин</t>
  </si>
  <si>
    <t>кампания 7, много инвестиционных хвостов</t>
  </si>
  <si>
    <t>купить эфириум</t>
  </si>
  <si>
    <t>кампания 7, группа ETH</t>
  </si>
  <si>
    <t>купить эфир</t>
  </si>
  <si>
    <t>ловушка: химия и телеэфир, «эфир» в ключи кампании 7 не берём</t>
  </si>
  <si>
    <t>карта для оплаты за границей</t>
  </si>
  <si>
    <t>кампания 8</t>
  </si>
  <si>
    <t>закон о криптовалюте</t>
  </si>
  <si>
    <t>кампания 11</t>
  </si>
  <si>
    <t>налог на криптовалюту</t>
  </si>
  <si>
    <t>квалифицированный инвестор криптовалюта</t>
  </si>
  <si>
    <t>Группа</t>
  </si>
  <si>
    <t>Ключ</t>
  </si>
  <si>
    <t>Посыл объявления</t>
  </si>
  <si>
    <t>1. Купить USDT</t>
  </si>
  <si>
    <t>обмен рублей на крипту у компании из реестра ЦБ, курс фиксируем до оплаты</t>
  </si>
  <si>
    <t>купить usdt за рубли</t>
  </si>
  <si>
    <t>где купить usdt</t>
  </si>
  <si>
    <t>купить usdt в россии</t>
  </si>
  <si>
    <t>покупка usdt за рубли</t>
  </si>
  <si>
    <t>купить usdt за рубли онлайн</t>
  </si>
  <si>
    <t>купить usdt выгодно</t>
  </si>
  <si>
    <t>купить usdt быстро</t>
  </si>
  <si>
    <t>2. Транслит</t>
  </si>
  <si>
    <t>купить юсдт</t>
  </si>
  <si>
    <t>тот же, что у группы 1</t>
  </si>
  <si>
    <t>покупка юсдт</t>
  </si>
  <si>
    <t>купить юсдт за рубли</t>
  </si>
  <si>
    <t>перевод [рублей в юсдт]</t>
  </si>
  <si>
    <t>обмен [рубли на юсдт]</t>
  </si>
  <si>
    <t>где купить юсдт</t>
  </si>
  <si>
    <t>3. Способ оплаты</t>
  </si>
  <si>
    <t>купить usdt картой</t>
  </si>
  <si>
    <t>оплата по СБП и картой любого российского банка</t>
  </si>
  <si>
    <t>usdt по сбп</t>
  </si>
  <si>
    <t>купить usdt в банке</t>
  </si>
  <si>
    <t>купить usdt сбербанк</t>
  </si>
  <si>
    <t>т банк купить usdt</t>
  </si>
  <si>
    <t>тинькофф купить usdt</t>
  </si>
  <si>
    <t>купить usdt по сбп</t>
  </si>
  <si>
    <t>купить usdt за рубли с карты</t>
  </si>
  <si>
    <t>купить usdt картой мир</t>
  </si>
  <si>
    <t>4. Сеть и кошелёк</t>
  </si>
  <si>
    <t>купить usdt trc20</t>
  </si>
  <si>
    <t>зачисление на ваш кошелёк в нужной сети</t>
  </si>
  <si>
    <t>кошелек usdt купить</t>
  </si>
  <si>
    <t>купить usdt trc20 за рубли</t>
  </si>
  <si>
    <t>купить usdt trc</t>
  </si>
  <si>
    <t>usdt trc 20 купить</t>
  </si>
  <si>
    <t>usdt tron купить</t>
  </si>
  <si>
    <t>5. Легально и безопасно</t>
  </si>
  <si>
    <t>можно ли купить usdt</t>
  </si>
  <si>
    <t>«Можно. Легально, у компании из реестра Банка России»</t>
  </si>
  <si>
    <t>как безопасно купить usdt</t>
  </si>
  <si>
    <t>как легально купить usdt</t>
  </si>
  <si>
    <t>купить usdt за рубли легально</t>
  </si>
  <si>
    <t>как официально купить usdt</t>
  </si>
  <si>
    <t>как легально купить usdt в россии</t>
  </si>
  <si>
    <t>купить usdt без p2p</t>
  </si>
  <si>
    <t>6. Как купить</t>
  </si>
  <si>
    <t>купить usdt 2026</t>
  </si>
  <si>
    <t>три шага: регистрация, проверка, обмен</t>
  </si>
  <si>
    <t>как купить usdt за рубли в россии</t>
  </si>
  <si>
    <t>как купить usdt за рубли 2026</t>
  </si>
  <si>
    <t>как купить usdt в 2026 году</t>
  </si>
  <si>
    <t>как купить криптовалюту usdt</t>
  </si>
  <si>
    <t>7. Обмен и обменник</t>
  </si>
  <si>
    <t>купить usdt обменник</t>
  </si>
  <si>
    <t>обменник из реестра ЦБ, онлайн</t>
  </si>
  <si>
    <t>купить usdt за рубли обменник</t>
  </si>
  <si>
    <t>конвертировать [рубль в usdt]</t>
  </si>
  <si>
    <t>обмен [rub на usdt]</t>
  </si>
  <si>
    <t>обменять [сбп на usdt]</t>
  </si>
  <si>
    <t>8. Города</t>
  </si>
  <si>
    <t>купить usdt москва</t>
  </si>
  <si>
    <t>онлайн из любого города, без встреч</t>
  </si>
  <si>
    <t>купить usdt санкт петербург</t>
  </si>
  <si>
    <t>купить usdt в челябинске</t>
  </si>
  <si>
    <t>купить usdt в спб</t>
  </si>
  <si>
    <t>купить usdt за рубли в москве</t>
  </si>
  <si>
    <t>9. P2P-аудитория, тест</t>
  </si>
  <si>
    <t>p2p купить usdt</t>
  </si>
  <si>
    <t>без P2P и переводов незнакомцам</t>
  </si>
  <si>
    <t>покупка usdt p2p</t>
  </si>
  <si>
    <t>купить usdt за рубли p2p</t>
  </si>
  <si>
    <t>Как собирали: хвосты каждой маски просмотрены в Wordstat; целевые фразы от 14 запросов в месяц здесь, чужие намерения в кампаниях 2, 3, 5 и 6, мусор на листе «Минус-слова». Частоты вложенные: «купить usdt» включает свои хвосты, суммировать их нельзя.</t>
  </si>
  <si>
    <t>Ключи с направлением обмена в операторе [ ]: без него Директ не учитывает порядок слов. Предлоги Директ без операторов тоже не учитывает: «usdt по сбп» ловит и «usdt через сбп» (87), «купить usdt по сбп» ловит и «купить usdt через сбп» (29), «p2p купить usdt» ловит и «купить usdt через p2p» (73).</t>
  </si>
  <si>
    <t>Категория</t>
  </si>
  <si>
    <t>Минус-слова</t>
  </si>
  <si>
    <t>Пример запроса из Wordstat</t>
  </si>
  <si>
    <t>Частота примера</t>
  </si>
  <si>
    <t>Продажа и вывод, уходят в кампанию 5</t>
  </si>
  <si>
    <t>продать, продажа, вывести, вывод, выводить, обналичить</t>
  </si>
  <si>
    <t>купить продать usdt</t>
  </si>
  <si>
    <t>Крупные суммы и Москва-Сити, уходят в кампанию 3</t>
  </si>
  <si>
    <t>миллион, млн, 1000000, сити</t>
  </si>
  <si>
    <t>миллион рублей в usdt</t>
  </si>
  <si>
    <t>Курс, уходит в кампанию 6</t>
  </si>
  <si>
    <t>курс покупки (минус-фраза)</t>
  </si>
  <si>
    <t>курс покупки usdt</t>
  </si>
  <si>
    <t>Наличные, сервис онлайн</t>
  </si>
  <si>
    <t>наличные, наличку, нал, офлайн, оффлайн, офис, пункт</t>
  </si>
  <si>
    <t>купить usdt за наличные</t>
  </si>
  <si>
    <t>Чужие площадки</t>
  </si>
  <si>
    <t>bybit, байбит, binance, бинанс, okx, mexc, htx, bitget, bingx, kucoin, garantex, grinex, рапира, rapira, bestchange, котлета, trust wallet, цифра, cifra, алтын, whitebird, биржа</t>
  </si>
  <si>
    <t>как купить usdt на bybit</t>
  </si>
  <si>
    <t>Монеты и сети вне предложения</t>
  </si>
  <si>
    <t>ton, тон, trx, трх, bnb, бнб, bep20, usdc, solana, солана, a7a5, а7</t>
  </si>
  <si>
    <t>купить usdt ton</t>
  </si>
  <si>
    <t>Фейки</t>
  </si>
  <si>
    <t>flash, флеш, фейк, fake</t>
  </si>
  <si>
    <t>flash usdt купить</t>
  </si>
  <si>
    <t>Покупки за USDT: не наш интент, реклама оплаты криптой запрещена</t>
  </si>
  <si>
    <t>звезды, скины, cs2, кс2, айфон, авто, машину, машинку, подписку, gift, подарочную</t>
  </si>
  <si>
    <t>купить звезды за usdt</t>
  </si>
  <si>
    <t>Мелкие суммы: звёзды Telegram и игры, чек не окупит клик</t>
  </si>
  <si>
    <t>!1, !2, !3, !5, !10 («20» не минусуем: это сеть TRC 20 из группы 4)</t>
  </si>
  <si>
    <t>купить 1 usdt</t>
  </si>
  <si>
    <t>Без проверки личности: закон её требует</t>
  </si>
  <si>
    <t>без верификации, без kyc, no kyc, анонимно</t>
  </si>
  <si>
    <t>купить usdt без верификации</t>
  </si>
  <si>
    <t>Другие страны и валюты</t>
  </si>
  <si>
    <t>гривны, тенге, казахстан, беларуси, белорусских, узбекистан, евро, юани, баты, паттайя, бали, дубай, лиры</t>
  </si>
  <si>
    <t>купить usdt в беларуси</t>
  </si>
  <si>
    <t>Юрлица, B2B позже</t>
  </si>
  <si>
    <t>организацию, безналу, юрлицо, ооо, ип</t>
  </si>
  <si>
    <t>купить usdt на организацию</t>
  </si>
  <si>
    <t>Информационные</t>
  </si>
  <si>
    <t>что такое, простыми словами, график, динамика, прогноз, новости, доминация, наказание</t>
  </si>
  <si>
    <t>какое наказание за покупку usdt через p2p</t>
  </si>
  <si>
    <t>Мусор маски «купить tether»</t>
  </si>
  <si>
    <t>garmin, backpack, tools, jerkstopper, hotspot, !tethering</t>
  </si>
  <si>
    <t>garmin backpack tether купить</t>
  </si>
  <si>
    <t>Посадочная</t>
  </si>
  <si>
    <t>2. Обменник и «купить криптовалюту»</t>
  </si>
  <si>
    <t>/</t>
  </si>
  <si>
    <t>Общая</t>
  </si>
  <si>
    <t>"обмен usdt"</t>
  </si>
  <si>
    <t>обменники криптовалюты в россии</t>
  </si>
  <si>
    <t>онлайн обменник криптовалют</t>
  </si>
  <si>
    <t>обменник юсдт</t>
  </si>
  <si>
    <t>обменник криптовалюты на рубли</t>
  </si>
  <si>
    <t>лучшие обменники криптовалюты</t>
  </si>
  <si>
    <t>какой обменник криптовалют</t>
  </si>
  <si>
    <t>обменник криптовалют на карту</t>
  </si>
  <si>
    <t>купить криптовалюту обменник</t>
  </si>
  <si>
    <t>Официальный</t>
  </si>
  <si>
    <t>официальный обменник криптовалюты</t>
  </si>
  <si>
    <t>легальные обменники криптовалюты</t>
  </si>
  <si>
    <t>официальные обменники криптовалют в россии</t>
  </si>
  <si>
    <t>легальные обменники криптовалюты в россии</t>
  </si>
  <si>
    <t>Города</t>
  </si>
  <si>
    <t>обменники криптовалюты в москве</t>
  </si>
  <si>
    <t>usdt обменник москва</t>
  </si>
  <si>
    <t>обменник криптовалюты спб</t>
  </si>
  <si>
    <t>3. Крупные суммы</t>
  </si>
  <si>
    <t>/krupnye-summy/</t>
  </si>
  <si>
    <t>Суммы</t>
  </si>
  <si>
    <t>[10000 usdt в рублях]</t>
  </si>
  <si>
    <t>[50000 usdt в рублях]</t>
  </si>
  <si>
    <t>[1000000 usdt в рубли]</t>
  </si>
  <si>
    <t>[миллион рублей в usdt]</t>
  </si>
  <si>
    <t>[150000 usdt в рублях]</t>
  </si>
  <si>
    <t>Москва-Сити, тест</t>
  </si>
  <si>
    <t>обменник криптовалют сити</t>
  </si>
  <si>
    <t>обменники криптовалюты москва сити</t>
  </si>
  <si>
    <t>обменник москва сити usdt</t>
  </si>
  <si>
    <t>5. Продажа и вывод USDT</t>
  </si>
  <si>
    <t>/prodat/usdt/</t>
  </si>
  <si>
    <t>Продать</t>
  </si>
  <si>
    <t>обмен [usdt на рубли]</t>
  </si>
  <si>
    <t>как продать usdt</t>
  </si>
  <si>
    <t>обменять [usdt на рубли]</t>
  </si>
  <si>
    <t>продать usdt за рубли</t>
  </si>
  <si>
    <t>Вывод</t>
  </si>
  <si>
    <t>как вывести usdt в рубли</t>
  </si>
  <si>
    <t>обменник [usdt на рубли]</t>
  </si>
  <si>
    <t>[usdt в рубли] на карту</t>
  </si>
  <si>
    <t>как вывести usdt в рубли на карту</t>
  </si>
  <si>
    <t>Легально</t>
  </si>
  <si>
    <t>можно ли продавать usdt</t>
  </si>
  <si>
    <t>где продавать usdt</t>
  </si>
  <si>
    <t>где обменять [usdt на рубли]</t>
  </si>
  <si>
    <t>продать usdt на карту</t>
  </si>
  <si>
    <t>обмен usdt на карту</t>
  </si>
  <si>
    <t>Транслит</t>
  </si>
  <si>
    <t>юсдт продать</t>
  </si>
  <si>
    <t>вывести юсдт</t>
  </si>
  <si>
    <t>продажа юсдт</t>
  </si>
  <si>
    <t>обменять [юсдт на рубли]</t>
  </si>
  <si>
    <t>вывести юсдт на карту</t>
  </si>
  <si>
    <t>P2P, тест</t>
  </si>
  <si>
    <t>продать usdt p2p</t>
  </si>
  <si>
    <t>продать usdt через p2p</t>
  </si>
  <si>
    <t>6. Курс USDT к рублю</t>
  </si>
  <si>
    <t>/kurs/usdt-rub/</t>
  </si>
  <si>
    <t>Курс</t>
  </si>
  <si>
    <t>usdt к рублю</t>
  </si>
  <si>
    <t>usdt курс к рублю</t>
  </si>
  <si>
    <t>курс юсдт</t>
  </si>
  <si>
    <t>юсдт к рублю</t>
  </si>
  <si>
    <t>usdt курс на сегодня</t>
  </si>
  <si>
    <t>юсдт курс к рублю</t>
  </si>
  <si>
    <t>1 usdt в рублях</t>
  </si>
  <si>
    <t>usdt в рубли на сегодня</t>
  </si>
  <si>
    <t>usdt сколько в рублях</t>
  </si>
  <si>
    <t>100 usdt в рубли</t>
  </si>
  <si>
    <t>курс usdt онлайн</t>
  </si>
  <si>
    <t>курс usdt rub</t>
  </si>
  <si>
    <t>1000 usdt в рубли</t>
  </si>
  <si>
    <t>Калькулятор</t>
  </si>
  <si>
    <t>калькулятор usdt к рублю</t>
  </si>
  <si>
    <t>курс обмена usdt</t>
  </si>
  <si>
    <t>курс usdt продажа</t>
  </si>
  <si>
    <t>5000 рублей в usdt</t>
  </si>
  <si>
    <t>курс usdt в обменниках</t>
  </si>
  <si>
    <t>конвертер usdt в рубли</t>
  </si>
  <si>
    <t>7. BTC и ETH</t>
  </si>
  <si>
    <t>/kupit/bitcoin/, группа ETH на /kupit/ethereum/</t>
  </si>
  <si>
    <t>BTC</t>
  </si>
  <si>
    <t>купить биткоин за рубли</t>
  </si>
  <si>
    <t>как купить биткоин в россии</t>
  </si>
  <si>
    <t>где купить биткоин</t>
  </si>
  <si>
    <t>купить биткоин в россии за рубли</t>
  </si>
  <si>
    <t>как купить биткоин в россии сейчас</t>
  </si>
  <si>
    <t>BTC легально</t>
  </si>
  <si>
    <t>можно ли купить биткоин</t>
  </si>
  <si>
    <t>где купить биткоин в россии</t>
  </si>
  <si>
    <t>где можно купить биткоин</t>
  </si>
  <si>
    <t>купить биткоины онлайн</t>
  </si>
  <si>
    <t>купить биткоин в россии 2026</t>
  </si>
  <si>
    <t>ETH</t>
  </si>
  <si>
    <t>где купить эфириум</t>
  </si>
  <si>
    <t>как законно в россии купить эфириум</t>
  </si>
  <si>
    <t>8. Карта для оплаты за границей</t>
  </si>
  <si>
    <t>/karta/</t>
  </si>
  <si>
    <t>Карта</t>
  </si>
  <si>
    <t>Виртуальная</t>
  </si>
  <si>
    <t>виртуальная карта для оплаты за границей</t>
  </si>
  <si>
    <t>карты для оплаты за границей 2026</t>
  </si>
  <si>
    <t>Оформить</t>
  </si>
  <si>
    <t>оформить карту для оплаты за границей</t>
  </si>
  <si>
    <t>карта для оплаты за границей для россиян</t>
  </si>
  <si>
    <t>Выбор</t>
  </si>
  <si>
    <t>какую карту для оплаты за границей</t>
  </si>
  <si>
    <t>банковская карта для оплаты за границей</t>
  </si>
  <si>
    <t>открыть карту для оплаты за границей</t>
  </si>
  <si>
    <t>какую карту оформить для оплаты за границей</t>
  </si>
  <si>
    <t>лучшая карта для оплаты за границей</t>
  </si>
  <si>
    <t>выпустить карту для оплаты за границей</t>
  </si>
  <si>
    <t>онлайн карта для оплаты за границей</t>
  </si>
  <si>
    <t>11. Закон и легальность</t>
  </si>
  <si>
    <t>гайды хаба /zakon/</t>
  </si>
  <si>
    <t>Закон</t>
  </si>
  <si>
    <t>закон о криптовалюте в россии</t>
  </si>
  <si>
    <t>закон о криптовалюте 2026</t>
  </si>
  <si>
    <t>закон о криптовалюте в россии 2026</t>
  </si>
  <si>
    <t>новый закон о криптовалюте</t>
  </si>
  <si>
    <t>закон о криптовалюте с 1 сентября</t>
  </si>
  <si>
    <t>закон о регулировании криптовалют</t>
  </si>
  <si>
    <t>закон о легализации криптовалюты</t>
  </si>
  <si>
    <t>закон 282 о криптовалюте</t>
  </si>
  <si>
    <t>закон о покупке криптовалюты</t>
  </si>
  <si>
    <t>Налог</t>
  </si>
  <si>
    <t>налог на криптовалюту в россии</t>
  </si>
  <si>
    <t>налог на доход криптовалюты</t>
  </si>
  <si>
    <t>налоги на продажу криптовалюты</t>
  </si>
  <si>
    <t>налог на прибыль криптовалюты</t>
  </si>
  <si>
    <t>Квалы и лимиты</t>
  </si>
  <si>
    <t>лимит на покупку криптовалюты</t>
  </si>
  <si>
    <t>как стать квалифицированным инвестором в криптовалюте</t>
  </si>
  <si>
    <t>Частоты вложенные и сняты без операторов: у ключей в кавычках и [ ] объём ниже. [ ] фиксирует порядок слов, кавычки оставляют только запросы из слов ключа. У кампаний 4 и 9 (аудитории РСЯ) и 10 (бренд) ключей нет. Частоты масок «купить криптовалюту» и «купить крипту» для кампании 2 снимаем перед запуском.</t>
  </si>
  <si>
    <t>Все кампании</t>
  </si>
  <si>
    <t>списки «Чужие площадки» (с биржей и котлетой), «Фейки», «Без проверки личности», «Монеты и сети вне предложения», «Юрлица»</t>
  </si>
  <si>
    <t>Все, кроме 8</t>
  </si>
  <si>
    <t>списки «Наличные» (с оффлайн), «Другие страны и валюты», «Покупки за USDT»</t>
  </si>
  <si>
    <t>обмен usdt на наличные</t>
  </si>
  <si>
    <t>Только 1</t>
  </si>
  <si>
    <t>списки «Мелкие суммы», «Информационные», «Продажа и вывод», «Крупные суммы и Москва-Сити», «Курс», «Мусор маски «купить tether»»: в кампании 6 «!1» срезал бы «1 usdt в рублях», а «график» срезал бы «график usdt к рублю»</t>
  </si>
  <si>
    <t>курс, сити; фразы «купить usdt», «продать usdt», «usdt рубли», «usdt карту» и те же с «юсдт»; в группе «Купить криптовалюту» названия монет: usdt, юсдт, усдт, tether, биткоин, bitcoin, btc, эфириум, ethereum, eth</t>
  </si>
  <si>
    <t>только общие; все ключи с суммами в операторе [ ] (суммы кампании 6 без [ ]: оба направления ведут на страницу курса)</t>
  </si>
  <si>
    <t>5. Продажа и вывод</t>
  </si>
  <si>
    <t>налог</t>
  </si>
  <si>
    <t>6. Курс</t>
  </si>
  <si>
    <t>btc, биткоин, доллару, прогноз, купить, продать, вывести, обменять, поменять, конвертировать, карту, !10000, !50000, !150000, !1000000, миллион; фразы «обмен рубли», «обменник рубли»</t>
  </si>
  <si>
    <t>btc курс usdt</t>
  </si>
  <si>
    <t>стоит, !купил, 2010, майнинг, доллары, продать; ключ «эфир» не берём</t>
  </si>
  <si>
    <t>купить биткоин за доллары</t>
  </si>
  <si>
    <t>8. Карта</t>
  </si>
  <si>
    <t>россельхозбанк, альфа, белорусская, сбер, втб, т банк, тинькофф, газпромбанк</t>
  </si>
  <si>
    <t>россельхозбанк карта для оплаты за границей</t>
  </si>
  <si>
    <t>сша</t>
  </si>
  <si>
    <t>закон о криптовалюте в сша</t>
  </si>
  <si>
    <t>Допущения: жёлтые ячейки можно менять, остальное пересчитается</t>
  </si>
  <si>
    <t>Параметр</t>
  </si>
  <si>
    <t>Значение</t>
  </si>
  <si>
    <t>Откуда</t>
  </si>
  <si>
    <t>Цена клика, ₽</t>
  </si>
  <si>
    <t>база: средний клик моих кампаний МФО в Казахстане, сентябрь 2026, × 3; сценарии 60 и 190 ₽</t>
  </si>
  <si>
    <t>Клик → регистрация</t>
  </si>
  <si>
    <t>допущение; в моих кампаниях МФО в Казахстане, Директ, сентябрь 2026, клик в заявку 6-16%</t>
  </si>
  <si>
    <t>Регистрация → проверка личности и тест</t>
  </si>
  <si>
    <t>рынок 60-90% при хорошем интерфейсе</t>
  </si>
  <si>
    <t>Проверка → первый обмен</t>
  </si>
  <si>
    <t>допущение</t>
  </si>
  <si>
    <t>Оборот разового клиента за 12 мес, ₽</t>
  </si>
  <si>
    <t>40% годового лимита неквала</t>
  </si>
  <si>
    <t>Спред разового клиента</t>
  </si>
  <si>
    <t>нижняя граница рынка обменников</t>
  </si>
  <si>
    <t>Доля клиентов, выпустивших карту</t>
  </si>
  <si>
    <t>Выпуск карты, $</t>
  </si>
  <si>
    <t>середина рынка</t>
  </si>
  <si>
    <t>Курс ЦБ, ₽ за $</t>
  </si>
  <si>
    <t>на 29.09.2026</t>
  </si>
  <si>
    <t>Пополнения карты за год, ₽</t>
  </si>
  <si>
    <t>Комиссия за пополнение карты</t>
  </si>
  <si>
    <t>рынок 0-5%</t>
  </si>
  <si>
    <t>Наша доля комиссий по карте</t>
  </si>
  <si>
    <t>Оборот крупного клиента за 12 мес, ₽</t>
  </si>
  <si>
    <t>нижняя граница диапазона 10-20 млн</t>
  </si>
  <si>
    <t>Спред крупного клиента</t>
  </si>
  <si>
    <t>личный менеджер, скорость</t>
  </si>
  <si>
    <t>Валовая маржа</t>
  </si>
  <si>
    <t>после процессинга, проверки личности, ликвидности</t>
  </si>
  <si>
    <t>Доля крупных клиентов</t>
  </si>
  <si>
    <t>база; сценарии 0% и 3%</t>
  </si>
  <si>
    <t>Кликов в расчёте</t>
  </si>
  <si>
    <t>Расчёт на клиента</t>
  </si>
  <si>
    <t>Конверсия клика в первый обмен</t>
  </si>
  <si>
    <t>CAC, ₽</t>
  </si>
  <si>
    <t>Выручка разового за 12 мес, ₽</t>
  </si>
  <si>
    <t>Прибыль разового за 12 мес, ₽</t>
  </si>
  <si>
    <t>Выручка крупного за 12 мес, ₽</t>
  </si>
  <si>
    <t>Прибыль крупного за 12 мес, ₽</t>
  </si>
  <si>
    <t>Прибыль среднего клиента за 12 мес, ₽</t>
  </si>
  <si>
    <t>ROMI за 12 мес</t>
  </si>
  <si>
    <t>Окупаемость, мес</t>
  </si>
  <si>
    <t>Порог доли крупных для окупаемости</t>
  </si>
  <si>
    <t>Расчёт на объём кликов</t>
  </si>
  <si>
    <t>Расход, ₽</t>
  </si>
  <si>
    <t>Регистрации</t>
  </si>
  <si>
    <t>Прошли проверку и тест</t>
  </si>
  <si>
    <t>Первый обмен</t>
  </si>
  <si>
    <t>Из них крупных</t>
  </si>
  <si>
    <t>Прибыль за 12 мес, ₽</t>
  </si>
  <si>
    <t>Чувствительность: ROMI за 12 мес</t>
  </si>
  <si>
    <t>0% крупных</t>
  </si>
  <si>
    <t>1% крупных</t>
  </si>
  <si>
    <t>3% крупных</t>
  </si>
  <si>
    <t>5% крупных</t>
  </si>
  <si>
    <t>Кампания крупных сумм: цена заявки</t>
  </si>
  <si>
    <t>Конверсия заявки в клиента</t>
  </si>
  <si>
    <t>Цена клика по запросам с суммами, ₽</t>
  </si>
  <si>
    <t>Конверсия клика в заявку на сумму от 1 млн ₽</t>
  </si>
  <si>
    <t>Допустимая цена заявки, ₽</t>
  </si>
  <si>
    <t>Ожидаемая цена заявки, ₽</t>
  </si>
  <si>
    <t>Запас, раз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</si>
</sst>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E7F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0" borderId="0" xfId="0" applyFont="1"/>
    <xf numFmtId="3" fontId="0" fillId="0" borderId="0" xfId="0" applyNumberFormat="1"/>
    <xf numFmtId="0" fontId="0" fillId="0" borderId="0" xfId="0" applyAlignment="1">
      <alignment vertical="top" wrapText="1"/>
    </xf>
    <xf numFmtId="1" fontId="0" fillId="3" borderId="0" xfId="0" applyNumberFormat="1" applyFill="1"/>
    <xf numFmtId="9" fontId="0" fillId="3" borderId="0" xfId="0" applyNumberFormat="1" applyFill="1"/>
    <xf numFmtId="3" fontId="0" fillId="3" borderId="0" xfId="0" applyNumberFormat="1" applyFill="1"/>
    <xf numFmtId="164" fontId="0" fillId="3" borderId="0" xfId="0" applyNumberFormat="1" applyFill="1"/>
    <xf numFmtId="2" fontId="0" fillId="3" borderId="0" xfId="0" applyNumberFormat="1" applyFill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36" customWidth="1"/>
    <col min="3" max="3" width="22" customWidth="1"/>
    <col min="4" max="4" width="58" customWidth="1"/>
    <col min="5" max="5" width="24" customWidth="1"/>
    <col min="6" max="6" width="20" customWidth="1"/>
  </cols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700</v>
      </c>
    </row>
    <row r="3" spans="1:6" x14ac:dyDescent="0.3">
      <c r="A3">
        <v>2</v>
      </c>
      <c r="B3" t="s">
        <v>10</v>
      </c>
      <c r="C3" t="s">
        <v>7</v>
      </c>
      <c r="D3" t="s">
        <v>11</v>
      </c>
      <c r="E3" t="s">
        <v>9</v>
      </c>
      <c r="F3">
        <v>400</v>
      </c>
    </row>
    <row r="4" spans="1:6" x14ac:dyDescent="0.3">
      <c r="A4">
        <v>3</v>
      </c>
      <c r="B4" t="s">
        <v>12</v>
      </c>
      <c r="C4" t="s">
        <v>7</v>
      </c>
      <c r="D4" t="s">
        <v>13</v>
      </c>
      <c r="E4" t="s">
        <v>9</v>
      </c>
      <c r="F4">
        <v>100</v>
      </c>
    </row>
    <row r="5" spans="1:6" x14ac:dyDescent="0.3">
      <c r="A5">
        <v>4</v>
      </c>
      <c r="B5" t="s">
        <v>14</v>
      </c>
      <c r="C5" t="s">
        <v>15</v>
      </c>
      <c r="D5" t="s">
        <v>16</v>
      </c>
      <c r="E5" t="s">
        <v>9</v>
      </c>
      <c r="F5">
        <v>100</v>
      </c>
    </row>
    <row r="6" spans="1:6" x14ac:dyDescent="0.3">
      <c r="A6">
        <v>5</v>
      </c>
      <c r="B6" t="s">
        <v>17</v>
      </c>
      <c r="C6" t="s">
        <v>7</v>
      </c>
      <c r="D6" t="s">
        <v>18</v>
      </c>
      <c r="E6" t="s">
        <v>19</v>
      </c>
      <c r="F6">
        <v>300</v>
      </c>
    </row>
    <row r="7" spans="1:6" x14ac:dyDescent="0.3">
      <c r="A7">
        <v>6</v>
      </c>
      <c r="B7" t="s">
        <v>20</v>
      </c>
      <c r="C7" t="s">
        <v>21</v>
      </c>
      <c r="D7" t="s">
        <v>22</v>
      </c>
      <c r="E7" t="s">
        <v>19</v>
      </c>
      <c r="F7">
        <v>400</v>
      </c>
    </row>
    <row r="8" spans="1:6" x14ac:dyDescent="0.3">
      <c r="A8">
        <v>7</v>
      </c>
      <c r="B8" t="s">
        <v>23</v>
      </c>
      <c r="C8" t="s">
        <v>7</v>
      </c>
      <c r="D8" t="s">
        <v>24</v>
      </c>
      <c r="E8" t="s">
        <v>25</v>
      </c>
      <c r="F8" t="s">
        <v>26</v>
      </c>
    </row>
    <row r="9" spans="1:6" x14ac:dyDescent="0.3">
      <c r="A9">
        <v>8</v>
      </c>
      <c r="B9" t="s">
        <v>27</v>
      </c>
      <c r="C9" t="s">
        <v>7</v>
      </c>
      <c r="D9" t="s">
        <v>28</v>
      </c>
      <c r="E9" t="s">
        <v>25</v>
      </c>
      <c r="F9" t="s">
        <v>26</v>
      </c>
    </row>
    <row r="10" spans="1:6" x14ac:dyDescent="0.3">
      <c r="A10">
        <v>9</v>
      </c>
      <c r="B10" t="s">
        <v>29</v>
      </c>
      <c r="C10" t="s">
        <v>15</v>
      </c>
      <c r="D10" t="s">
        <v>30</v>
      </c>
      <c r="E10" t="s">
        <v>31</v>
      </c>
      <c r="F10" t="s">
        <v>26</v>
      </c>
    </row>
    <row r="11" spans="1:6" x14ac:dyDescent="0.3">
      <c r="A11">
        <v>10</v>
      </c>
      <c r="B11" t="s">
        <v>32</v>
      </c>
      <c r="C11" t="s">
        <v>7</v>
      </c>
      <c r="D11" t="s">
        <v>11</v>
      </c>
      <c r="E11" t="s">
        <v>33</v>
      </c>
      <c r="F11" t="s">
        <v>26</v>
      </c>
    </row>
    <row r="12" spans="1:6" x14ac:dyDescent="0.3">
      <c r="A12">
        <v>11</v>
      </c>
      <c r="B12" t="s">
        <v>34</v>
      </c>
      <c r="C12" t="s">
        <v>21</v>
      </c>
      <c r="D12" t="s">
        <v>35</v>
      </c>
      <c r="E12" t="s">
        <v>25</v>
      </c>
      <c r="F12" t="s">
        <v>26</v>
      </c>
    </row>
    <row r="13" spans="1:6" x14ac:dyDescent="0.3">
      <c r="B13" s="2" t="s">
        <v>36</v>
      </c>
      <c r="F13" s="2">
        <f>SUM(F2:F12)</f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0" customWidth="1"/>
    <col min="2" max="2" width="26" customWidth="1"/>
    <col min="3" max="3" width="70" customWidth="1"/>
  </cols>
  <sheetData>
    <row r="1" spans="1:3" ht="28.8" x14ac:dyDescent="0.3">
      <c r="A1" s="1" t="s">
        <v>37</v>
      </c>
      <c r="B1" s="1" t="s">
        <v>38</v>
      </c>
      <c r="C1" s="1" t="s">
        <v>39</v>
      </c>
    </row>
    <row r="2" spans="1:3" x14ac:dyDescent="0.3">
      <c r="A2" t="s">
        <v>40</v>
      </c>
      <c r="B2" s="3">
        <v>7645</v>
      </c>
      <c r="C2" t="s">
        <v>41</v>
      </c>
    </row>
    <row r="3" spans="1:3" x14ac:dyDescent="0.3">
      <c r="A3" t="s">
        <v>42</v>
      </c>
      <c r="B3" s="3">
        <v>1549</v>
      </c>
      <c r="C3" t="s">
        <v>41</v>
      </c>
    </row>
    <row r="4" spans="1:3" x14ac:dyDescent="0.3">
      <c r="A4" t="s">
        <v>43</v>
      </c>
      <c r="B4" s="3">
        <v>43383</v>
      </c>
      <c r="C4" t="s">
        <v>44</v>
      </c>
    </row>
    <row r="5" spans="1:3" x14ac:dyDescent="0.3">
      <c r="A5" t="s">
        <v>45</v>
      </c>
      <c r="B5" s="3">
        <v>111</v>
      </c>
      <c r="C5" t="s">
        <v>46</v>
      </c>
    </row>
    <row r="6" spans="1:3" x14ac:dyDescent="0.3">
      <c r="A6" t="s">
        <v>47</v>
      </c>
      <c r="B6" s="3">
        <v>203</v>
      </c>
      <c r="C6" t="s">
        <v>48</v>
      </c>
    </row>
    <row r="7" spans="1:3" x14ac:dyDescent="0.3">
      <c r="A7" t="s">
        <v>49</v>
      </c>
      <c r="B7" s="3">
        <v>335</v>
      </c>
      <c r="C7" t="s">
        <v>50</v>
      </c>
    </row>
    <row r="8" spans="1:3" x14ac:dyDescent="0.3">
      <c r="A8" t="s">
        <v>51</v>
      </c>
      <c r="B8" s="3">
        <v>2638</v>
      </c>
      <c r="C8" t="s">
        <v>52</v>
      </c>
    </row>
    <row r="9" spans="1:3" x14ac:dyDescent="0.3">
      <c r="A9" t="s">
        <v>53</v>
      </c>
      <c r="B9" s="3">
        <v>1601</v>
      </c>
      <c r="C9" t="s">
        <v>54</v>
      </c>
    </row>
    <row r="10" spans="1:3" x14ac:dyDescent="0.3">
      <c r="A10" t="s">
        <v>55</v>
      </c>
      <c r="B10" s="3">
        <v>68404</v>
      </c>
      <c r="C10" t="s">
        <v>56</v>
      </c>
    </row>
    <row r="11" spans="1:3" x14ac:dyDescent="0.3">
      <c r="A11" t="s">
        <v>57</v>
      </c>
      <c r="B11" s="3">
        <v>15</v>
      </c>
      <c r="C11" t="s">
        <v>58</v>
      </c>
    </row>
    <row r="12" spans="1:3" x14ac:dyDescent="0.3">
      <c r="A12" t="s">
        <v>59</v>
      </c>
      <c r="B12" s="3">
        <v>8266</v>
      </c>
      <c r="C12" t="s">
        <v>60</v>
      </c>
    </row>
    <row r="13" spans="1:3" x14ac:dyDescent="0.3">
      <c r="A13" t="s">
        <v>61</v>
      </c>
      <c r="B13" s="3">
        <v>1804</v>
      </c>
      <c r="C13" t="s">
        <v>62</v>
      </c>
    </row>
    <row r="14" spans="1:3" x14ac:dyDescent="0.3">
      <c r="A14" t="s">
        <v>63</v>
      </c>
      <c r="B14" s="3">
        <v>45673</v>
      </c>
      <c r="C14" t="s">
        <v>64</v>
      </c>
    </row>
    <row r="15" spans="1:3" x14ac:dyDescent="0.3">
      <c r="A15" t="s">
        <v>65</v>
      </c>
      <c r="B15" s="3">
        <v>14963</v>
      </c>
      <c r="C15" t="s">
        <v>66</v>
      </c>
    </row>
    <row r="16" spans="1:3" x14ac:dyDescent="0.3">
      <c r="A16" t="s">
        <v>67</v>
      </c>
      <c r="B16" s="3">
        <v>231</v>
      </c>
      <c r="C16" t="s">
        <v>68</v>
      </c>
    </row>
    <row r="17" spans="1:3" x14ac:dyDescent="0.3">
      <c r="A17" t="s">
        <v>69</v>
      </c>
      <c r="B17" s="3">
        <v>5557</v>
      </c>
      <c r="C17" t="s">
        <v>70</v>
      </c>
    </row>
    <row r="18" spans="1:3" x14ac:dyDescent="0.3">
      <c r="A18" t="s">
        <v>71</v>
      </c>
      <c r="B18" s="3">
        <v>6073</v>
      </c>
      <c r="C18" t="s">
        <v>72</v>
      </c>
    </row>
    <row r="19" spans="1:3" x14ac:dyDescent="0.3">
      <c r="A19" t="s">
        <v>73</v>
      </c>
      <c r="B19" s="3">
        <v>3875</v>
      </c>
      <c r="C19" t="s">
        <v>74</v>
      </c>
    </row>
    <row r="20" spans="1:3" x14ac:dyDescent="0.3">
      <c r="A20" t="s">
        <v>75</v>
      </c>
      <c r="B20" s="3">
        <v>826</v>
      </c>
      <c r="C20" t="s">
        <v>74</v>
      </c>
    </row>
    <row r="21" spans="1:3" x14ac:dyDescent="0.3">
      <c r="A21" t="s">
        <v>76</v>
      </c>
      <c r="B21" s="3">
        <v>189</v>
      </c>
      <c r="C21" t="s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36" customWidth="1"/>
    <col min="3" max="3" width="26" customWidth="1"/>
    <col min="4" max="4" width="60" customWidth="1"/>
  </cols>
  <sheetData>
    <row r="1" spans="1:4" ht="28.8" x14ac:dyDescent="0.3">
      <c r="A1" s="1" t="s">
        <v>77</v>
      </c>
      <c r="B1" s="1" t="s">
        <v>78</v>
      </c>
      <c r="C1" s="1" t="s">
        <v>38</v>
      </c>
      <c r="D1" s="1" t="s">
        <v>79</v>
      </c>
    </row>
    <row r="2" spans="1:4" x14ac:dyDescent="0.3">
      <c r="A2" t="s">
        <v>80</v>
      </c>
      <c r="B2" t="s">
        <v>40</v>
      </c>
      <c r="C2" s="3">
        <v>7645</v>
      </c>
      <c r="D2" t="s">
        <v>81</v>
      </c>
    </row>
    <row r="3" spans="1:4" x14ac:dyDescent="0.3">
      <c r="A3" t="s">
        <v>80</v>
      </c>
      <c r="B3" t="s">
        <v>82</v>
      </c>
      <c r="C3" s="3">
        <v>1943</v>
      </c>
      <c r="D3" t="s">
        <v>81</v>
      </c>
    </row>
    <row r="4" spans="1:4" x14ac:dyDescent="0.3">
      <c r="A4" t="s">
        <v>80</v>
      </c>
      <c r="B4" t="s">
        <v>42</v>
      </c>
      <c r="C4" s="3">
        <v>1549</v>
      </c>
      <c r="D4" t="s">
        <v>81</v>
      </c>
    </row>
    <row r="5" spans="1:4" x14ac:dyDescent="0.3">
      <c r="A5" t="s">
        <v>80</v>
      </c>
      <c r="B5" t="s">
        <v>83</v>
      </c>
      <c r="C5" s="3">
        <v>493</v>
      </c>
      <c r="D5" t="s">
        <v>81</v>
      </c>
    </row>
    <row r="6" spans="1:4" x14ac:dyDescent="0.3">
      <c r="A6" t="s">
        <v>80</v>
      </c>
      <c r="B6" t="s">
        <v>84</v>
      </c>
      <c r="C6" s="3">
        <v>420</v>
      </c>
      <c r="D6" t="s">
        <v>81</v>
      </c>
    </row>
    <row r="7" spans="1:4" x14ac:dyDescent="0.3">
      <c r="A7" t="s">
        <v>80</v>
      </c>
      <c r="B7" t="s">
        <v>47</v>
      </c>
      <c r="C7" s="3">
        <v>203</v>
      </c>
      <c r="D7" t="s">
        <v>81</v>
      </c>
    </row>
    <row r="8" spans="1:4" x14ac:dyDescent="0.3">
      <c r="A8" t="s">
        <v>80</v>
      </c>
      <c r="B8" t="s">
        <v>85</v>
      </c>
      <c r="C8" s="3">
        <v>141</v>
      </c>
      <c r="D8" t="s">
        <v>81</v>
      </c>
    </row>
    <row r="9" spans="1:4" x14ac:dyDescent="0.3">
      <c r="A9" t="s">
        <v>80</v>
      </c>
      <c r="B9" t="s">
        <v>86</v>
      </c>
      <c r="C9" s="3">
        <v>125</v>
      </c>
      <c r="D9" t="s">
        <v>81</v>
      </c>
    </row>
    <row r="10" spans="1:4" x14ac:dyDescent="0.3">
      <c r="A10" t="s">
        <v>80</v>
      </c>
      <c r="B10" t="s">
        <v>87</v>
      </c>
      <c r="C10" s="3">
        <v>75</v>
      </c>
      <c r="D10" t="s">
        <v>81</v>
      </c>
    </row>
    <row r="11" spans="1:4" x14ac:dyDescent="0.3">
      <c r="A11" t="s">
        <v>80</v>
      </c>
      <c r="B11" t="s">
        <v>88</v>
      </c>
      <c r="C11" s="3">
        <v>36</v>
      </c>
      <c r="D11" t="s">
        <v>81</v>
      </c>
    </row>
    <row r="12" spans="1:4" x14ac:dyDescent="0.3">
      <c r="A12" t="s">
        <v>89</v>
      </c>
      <c r="B12" t="s">
        <v>90</v>
      </c>
      <c r="C12" s="3">
        <v>1391</v>
      </c>
      <c r="D12" t="s">
        <v>91</v>
      </c>
    </row>
    <row r="13" spans="1:4" x14ac:dyDescent="0.3">
      <c r="A13" t="s">
        <v>89</v>
      </c>
      <c r="B13" t="s">
        <v>92</v>
      </c>
      <c r="C13" s="3">
        <v>298</v>
      </c>
      <c r="D13" t="s">
        <v>91</v>
      </c>
    </row>
    <row r="14" spans="1:4" x14ac:dyDescent="0.3">
      <c r="A14" t="s">
        <v>89</v>
      </c>
      <c r="B14" t="s">
        <v>93</v>
      </c>
      <c r="C14" s="3">
        <v>195</v>
      </c>
      <c r="D14" t="s">
        <v>91</v>
      </c>
    </row>
    <row r="15" spans="1:4" x14ac:dyDescent="0.3">
      <c r="A15" t="s">
        <v>89</v>
      </c>
      <c r="B15" t="s">
        <v>94</v>
      </c>
      <c r="C15" s="3">
        <v>132</v>
      </c>
      <c r="D15" t="s">
        <v>91</v>
      </c>
    </row>
    <row r="16" spans="1:4" x14ac:dyDescent="0.3">
      <c r="A16" t="s">
        <v>89</v>
      </c>
      <c r="B16" t="s">
        <v>95</v>
      </c>
      <c r="C16" s="3">
        <v>124</v>
      </c>
      <c r="D16" t="s">
        <v>91</v>
      </c>
    </row>
    <row r="17" spans="1:4" x14ac:dyDescent="0.3">
      <c r="A17" t="s">
        <v>89</v>
      </c>
      <c r="B17" t="s">
        <v>96</v>
      </c>
      <c r="C17" s="3">
        <v>116</v>
      </c>
      <c r="D17" t="s">
        <v>91</v>
      </c>
    </row>
    <row r="18" spans="1:4" x14ac:dyDescent="0.3">
      <c r="A18" t="s">
        <v>89</v>
      </c>
      <c r="B18" t="s">
        <v>45</v>
      </c>
      <c r="C18" s="3">
        <v>111</v>
      </c>
      <c r="D18" t="s">
        <v>91</v>
      </c>
    </row>
    <row r="19" spans="1:4" x14ac:dyDescent="0.3">
      <c r="A19" t="s">
        <v>97</v>
      </c>
      <c r="B19" t="s">
        <v>98</v>
      </c>
      <c r="C19" s="3">
        <v>250</v>
      </c>
      <c r="D19" t="s">
        <v>99</v>
      </c>
    </row>
    <row r="20" spans="1:4" x14ac:dyDescent="0.3">
      <c r="A20" t="s">
        <v>97</v>
      </c>
      <c r="B20" t="s">
        <v>100</v>
      </c>
      <c r="C20" s="3">
        <v>124</v>
      </c>
      <c r="D20" t="s">
        <v>99</v>
      </c>
    </row>
    <row r="21" spans="1:4" x14ac:dyDescent="0.3">
      <c r="A21" t="s">
        <v>97</v>
      </c>
      <c r="B21" t="s">
        <v>101</v>
      </c>
      <c r="C21" s="3">
        <v>48</v>
      </c>
      <c r="D21" t="s">
        <v>99</v>
      </c>
    </row>
    <row r="22" spans="1:4" x14ac:dyDescent="0.3">
      <c r="A22" t="s">
        <v>97</v>
      </c>
      <c r="B22" t="s">
        <v>102</v>
      </c>
      <c r="C22" s="3">
        <v>41</v>
      </c>
      <c r="D22" t="s">
        <v>99</v>
      </c>
    </row>
    <row r="23" spans="1:4" x14ac:dyDescent="0.3">
      <c r="A23" t="s">
        <v>97</v>
      </c>
      <c r="B23" t="s">
        <v>103</v>
      </c>
      <c r="C23" s="3">
        <v>41</v>
      </c>
      <c r="D23" t="s">
        <v>99</v>
      </c>
    </row>
    <row r="24" spans="1:4" x14ac:dyDescent="0.3">
      <c r="A24" t="s">
        <v>97</v>
      </c>
      <c r="B24" t="s">
        <v>104</v>
      </c>
      <c r="C24" s="3">
        <v>40</v>
      </c>
      <c r="D24" t="s">
        <v>99</v>
      </c>
    </row>
    <row r="25" spans="1:4" x14ac:dyDescent="0.3">
      <c r="A25" t="s">
        <v>97</v>
      </c>
      <c r="B25" t="s">
        <v>105</v>
      </c>
      <c r="C25" s="3">
        <v>37</v>
      </c>
      <c r="D25" t="s">
        <v>99</v>
      </c>
    </row>
    <row r="26" spans="1:4" x14ac:dyDescent="0.3">
      <c r="A26" t="s">
        <v>97</v>
      </c>
      <c r="B26" t="s">
        <v>106</v>
      </c>
      <c r="C26" s="3">
        <v>30</v>
      </c>
      <c r="D26" t="s">
        <v>99</v>
      </c>
    </row>
    <row r="27" spans="1:4" x14ac:dyDescent="0.3">
      <c r="A27" t="s">
        <v>97</v>
      </c>
      <c r="B27" t="s">
        <v>107</v>
      </c>
      <c r="C27" s="3">
        <v>14</v>
      </c>
      <c r="D27" t="s">
        <v>99</v>
      </c>
    </row>
    <row r="28" spans="1:4" x14ac:dyDescent="0.3">
      <c r="A28" t="s">
        <v>108</v>
      </c>
      <c r="B28" t="s">
        <v>109</v>
      </c>
      <c r="C28" s="3">
        <v>194</v>
      </c>
      <c r="D28" t="s">
        <v>110</v>
      </c>
    </row>
    <row r="29" spans="1:4" x14ac:dyDescent="0.3">
      <c r="A29" t="s">
        <v>108</v>
      </c>
      <c r="B29" t="s">
        <v>111</v>
      </c>
      <c r="C29" s="3">
        <v>138</v>
      </c>
      <c r="D29" t="s">
        <v>110</v>
      </c>
    </row>
    <row r="30" spans="1:4" x14ac:dyDescent="0.3">
      <c r="A30" t="s">
        <v>108</v>
      </c>
      <c r="B30" t="s">
        <v>112</v>
      </c>
      <c r="C30" s="3">
        <v>94</v>
      </c>
      <c r="D30" t="s">
        <v>110</v>
      </c>
    </row>
    <row r="31" spans="1:4" x14ac:dyDescent="0.3">
      <c r="A31" t="s">
        <v>108</v>
      </c>
      <c r="B31" t="s">
        <v>113</v>
      </c>
      <c r="C31" s="3">
        <v>38</v>
      </c>
      <c r="D31" t="s">
        <v>110</v>
      </c>
    </row>
    <row r="32" spans="1:4" x14ac:dyDescent="0.3">
      <c r="A32" t="s">
        <v>108</v>
      </c>
      <c r="B32" t="s">
        <v>114</v>
      </c>
      <c r="C32" s="3">
        <v>30</v>
      </c>
      <c r="D32" t="s">
        <v>110</v>
      </c>
    </row>
    <row r="33" spans="1:4" x14ac:dyDescent="0.3">
      <c r="A33" t="s">
        <v>108</v>
      </c>
      <c r="B33" t="s">
        <v>115</v>
      </c>
      <c r="C33" s="3">
        <v>16</v>
      </c>
      <c r="D33" t="s">
        <v>110</v>
      </c>
    </row>
    <row r="34" spans="1:4" x14ac:dyDescent="0.3">
      <c r="A34" t="s">
        <v>116</v>
      </c>
      <c r="B34" t="s">
        <v>117</v>
      </c>
      <c r="C34" s="3">
        <v>215</v>
      </c>
      <c r="D34" t="s">
        <v>118</v>
      </c>
    </row>
    <row r="35" spans="1:4" x14ac:dyDescent="0.3">
      <c r="A35" t="s">
        <v>116</v>
      </c>
      <c r="B35" t="s">
        <v>119</v>
      </c>
      <c r="C35" s="3">
        <v>86</v>
      </c>
      <c r="D35" t="s">
        <v>118</v>
      </c>
    </row>
    <row r="36" spans="1:4" x14ac:dyDescent="0.3">
      <c r="A36" t="s">
        <v>116</v>
      </c>
      <c r="B36" t="s">
        <v>120</v>
      </c>
      <c r="C36" s="3">
        <v>70</v>
      </c>
      <c r="D36" t="s">
        <v>118</v>
      </c>
    </row>
    <row r="37" spans="1:4" x14ac:dyDescent="0.3">
      <c r="A37" t="s">
        <v>116</v>
      </c>
      <c r="B37" t="s">
        <v>121</v>
      </c>
      <c r="C37" s="3">
        <v>42</v>
      </c>
      <c r="D37" t="s">
        <v>118</v>
      </c>
    </row>
    <row r="38" spans="1:4" x14ac:dyDescent="0.3">
      <c r="A38" t="s">
        <v>116</v>
      </c>
      <c r="B38" t="s">
        <v>122</v>
      </c>
      <c r="C38" s="3">
        <v>22</v>
      </c>
      <c r="D38" t="s">
        <v>118</v>
      </c>
    </row>
    <row r="39" spans="1:4" x14ac:dyDescent="0.3">
      <c r="A39" t="s">
        <v>116</v>
      </c>
      <c r="B39" t="s">
        <v>123</v>
      </c>
      <c r="C39" s="3">
        <v>18</v>
      </c>
      <c r="D39" t="s">
        <v>118</v>
      </c>
    </row>
    <row r="40" spans="1:4" x14ac:dyDescent="0.3">
      <c r="A40" t="s">
        <v>116</v>
      </c>
      <c r="B40" t="s">
        <v>124</v>
      </c>
      <c r="C40" s="3">
        <v>17</v>
      </c>
      <c r="D40" t="s">
        <v>118</v>
      </c>
    </row>
    <row r="41" spans="1:4" x14ac:dyDescent="0.3">
      <c r="A41" t="s">
        <v>125</v>
      </c>
      <c r="B41" t="s">
        <v>126</v>
      </c>
      <c r="C41" s="3">
        <v>189</v>
      </c>
      <c r="D41" t="s">
        <v>127</v>
      </c>
    </row>
    <row r="42" spans="1:4" x14ac:dyDescent="0.3">
      <c r="A42" t="s">
        <v>125</v>
      </c>
      <c r="B42" t="s">
        <v>128</v>
      </c>
      <c r="C42" s="3">
        <v>140</v>
      </c>
      <c r="D42" t="s">
        <v>127</v>
      </c>
    </row>
    <row r="43" spans="1:4" x14ac:dyDescent="0.3">
      <c r="A43" t="s">
        <v>125</v>
      </c>
      <c r="B43" t="s">
        <v>129</v>
      </c>
      <c r="C43" s="3">
        <v>112</v>
      </c>
      <c r="D43" t="s">
        <v>127</v>
      </c>
    </row>
    <row r="44" spans="1:4" x14ac:dyDescent="0.3">
      <c r="A44" t="s">
        <v>125</v>
      </c>
      <c r="B44" t="s">
        <v>130</v>
      </c>
      <c r="C44" s="3">
        <v>36</v>
      </c>
      <c r="D44" t="s">
        <v>127</v>
      </c>
    </row>
    <row r="45" spans="1:4" x14ac:dyDescent="0.3">
      <c r="A45" t="s">
        <v>125</v>
      </c>
      <c r="B45" t="s">
        <v>131</v>
      </c>
      <c r="C45" s="3">
        <v>34</v>
      </c>
      <c r="D45" t="s">
        <v>127</v>
      </c>
    </row>
    <row r="46" spans="1:4" x14ac:dyDescent="0.3">
      <c r="A46" t="s">
        <v>132</v>
      </c>
      <c r="B46" t="s">
        <v>133</v>
      </c>
      <c r="C46" s="3">
        <v>257</v>
      </c>
      <c r="D46" t="s">
        <v>134</v>
      </c>
    </row>
    <row r="47" spans="1:4" x14ac:dyDescent="0.3">
      <c r="A47" t="s">
        <v>132</v>
      </c>
      <c r="B47" t="s">
        <v>135</v>
      </c>
      <c r="C47" s="3">
        <v>206</v>
      </c>
      <c r="D47" t="s">
        <v>134</v>
      </c>
    </row>
    <row r="48" spans="1:4" x14ac:dyDescent="0.3">
      <c r="A48" t="s">
        <v>132</v>
      </c>
      <c r="B48" t="s">
        <v>136</v>
      </c>
      <c r="C48" s="3">
        <v>85</v>
      </c>
      <c r="D48" t="s">
        <v>134</v>
      </c>
    </row>
    <row r="49" spans="1:4" x14ac:dyDescent="0.3">
      <c r="A49" t="s">
        <v>132</v>
      </c>
      <c r="B49" t="s">
        <v>137</v>
      </c>
      <c r="C49" s="3">
        <v>23</v>
      </c>
      <c r="D49" t="s">
        <v>134</v>
      </c>
    </row>
    <row r="50" spans="1:4" x14ac:dyDescent="0.3">
      <c r="A50" t="s">
        <v>132</v>
      </c>
      <c r="B50" t="s">
        <v>138</v>
      </c>
      <c r="C50" s="3">
        <v>15</v>
      </c>
      <c r="D50" t="s">
        <v>134</v>
      </c>
    </row>
    <row r="51" spans="1:4" x14ac:dyDescent="0.3">
      <c r="A51" t="s">
        <v>139</v>
      </c>
      <c r="B51" t="s">
        <v>140</v>
      </c>
      <c r="C51" s="3">
        <v>149</v>
      </c>
      <c r="D51" t="s">
        <v>141</v>
      </c>
    </row>
    <row r="52" spans="1:4" x14ac:dyDescent="0.3">
      <c r="A52" t="s">
        <v>139</v>
      </c>
      <c r="B52" t="s">
        <v>142</v>
      </c>
      <c r="C52" s="3">
        <v>138</v>
      </c>
      <c r="D52" t="s">
        <v>141</v>
      </c>
    </row>
    <row r="53" spans="1:4" x14ac:dyDescent="0.3">
      <c r="A53" t="s">
        <v>139</v>
      </c>
      <c r="B53" t="s">
        <v>143</v>
      </c>
      <c r="C53" s="3">
        <v>58</v>
      </c>
      <c r="D53" t="s">
        <v>141</v>
      </c>
    </row>
    <row r="54" spans="1:4" x14ac:dyDescent="0.3">
      <c r="A54" t="s">
        <v>139</v>
      </c>
      <c r="B54" t="s">
        <v>144</v>
      </c>
      <c r="C54" s="3">
        <v>41</v>
      </c>
      <c r="D54" t="s">
        <v>141</v>
      </c>
    </row>
    <row r="55" spans="1:4" x14ac:dyDescent="0.3">
      <c r="A55" t="s">
        <v>139</v>
      </c>
      <c r="B55" t="s">
        <v>145</v>
      </c>
      <c r="C55" s="3">
        <v>36</v>
      </c>
      <c r="D55" t="s">
        <v>141</v>
      </c>
    </row>
    <row r="56" spans="1:4" x14ac:dyDescent="0.3">
      <c r="A56" t="s">
        <v>146</v>
      </c>
      <c r="B56" t="s">
        <v>147</v>
      </c>
      <c r="C56" s="3">
        <v>182</v>
      </c>
      <c r="D56" t="s">
        <v>148</v>
      </c>
    </row>
    <row r="57" spans="1:4" x14ac:dyDescent="0.3">
      <c r="A57" t="s">
        <v>146</v>
      </c>
      <c r="B57" t="s">
        <v>149</v>
      </c>
      <c r="C57" s="3">
        <v>124</v>
      </c>
      <c r="D57" t="s">
        <v>148</v>
      </c>
    </row>
    <row r="58" spans="1:4" x14ac:dyDescent="0.3">
      <c r="A58" t="s">
        <v>146</v>
      </c>
      <c r="B58" t="s">
        <v>150</v>
      </c>
      <c r="C58" s="3">
        <v>26</v>
      </c>
      <c r="D58" t="s">
        <v>148</v>
      </c>
    </row>
    <row r="60" spans="1:4" x14ac:dyDescent="0.3">
      <c r="A60" t="s">
        <v>151</v>
      </c>
    </row>
    <row r="61" spans="1:4" x14ac:dyDescent="0.3">
      <c r="A61" t="s">
        <v>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0" customWidth="1"/>
    <col min="2" max="2" width="70" customWidth="1"/>
    <col min="3" max="3" width="38" customWidth="1"/>
    <col min="4" max="4" width="16" customWidth="1"/>
  </cols>
  <sheetData>
    <row r="1" spans="1:4" ht="28.8" x14ac:dyDescent="0.3">
      <c r="A1" s="1" t="s">
        <v>153</v>
      </c>
      <c r="B1" s="1" t="s">
        <v>154</v>
      </c>
      <c r="C1" s="1" t="s">
        <v>155</v>
      </c>
      <c r="D1" s="1" t="s">
        <v>156</v>
      </c>
    </row>
    <row r="2" spans="1:4" x14ac:dyDescent="0.3">
      <c r="A2" s="4" t="s">
        <v>157</v>
      </c>
      <c r="B2" s="4" t="s">
        <v>158</v>
      </c>
      <c r="C2" s="4" t="s">
        <v>159</v>
      </c>
      <c r="D2" s="4">
        <v>143</v>
      </c>
    </row>
    <row r="3" spans="1:4" ht="28.8" x14ac:dyDescent="0.3">
      <c r="A3" s="4" t="s">
        <v>160</v>
      </c>
      <c r="B3" s="4" t="s">
        <v>161</v>
      </c>
      <c r="C3" s="4" t="s">
        <v>162</v>
      </c>
      <c r="D3" s="4">
        <v>68</v>
      </c>
    </row>
    <row r="4" spans="1:4" x14ac:dyDescent="0.3">
      <c r="A4" s="4" t="s">
        <v>163</v>
      </c>
      <c r="B4" s="4" t="s">
        <v>164</v>
      </c>
      <c r="C4" s="4" t="s">
        <v>165</v>
      </c>
      <c r="D4" s="4">
        <v>234</v>
      </c>
    </row>
    <row r="5" spans="1:4" x14ac:dyDescent="0.3">
      <c r="A5" s="4" t="s">
        <v>166</v>
      </c>
      <c r="B5" s="4" t="s">
        <v>167</v>
      </c>
      <c r="C5" s="4" t="s">
        <v>168</v>
      </c>
      <c r="D5" s="4">
        <v>99</v>
      </c>
    </row>
    <row r="6" spans="1:4" ht="43.2" x14ac:dyDescent="0.3">
      <c r="A6" s="4" t="s">
        <v>169</v>
      </c>
      <c r="B6" s="4" t="s">
        <v>170</v>
      </c>
      <c r="C6" s="4" t="s">
        <v>171</v>
      </c>
      <c r="D6" s="4">
        <v>258</v>
      </c>
    </row>
    <row r="7" spans="1:4" x14ac:dyDescent="0.3">
      <c r="A7" s="4" t="s">
        <v>172</v>
      </c>
      <c r="B7" s="4" t="s">
        <v>173</v>
      </c>
      <c r="C7" s="4" t="s">
        <v>174</v>
      </c>
      <c r="D7" s="4">
        <v>61</v>
      </c>
    </row>
    <row r="8" spans="1:4" x14ac:dyDescent="0.3">
      <c r="A8" s="4" t="s">
        <v>175</v>
      </c>
      <c r="B8" s="4" t="s">
        <v>176</v>
      </c>
      <c r="C8" s="4" t="s">
        <v>177</v>
      </c>
      <c r="D8" s="4">
        <v>52</v>
      </c>
    </row>
    <row r="9" spans="1:4" ht="28.8" x14ac:dyDescent="0.3">
      <c r="A9" s="4" t="s">
        <v>178</v>
      </c>
      <c r="B9" s="4" t="s">
        <v>179</v>
      </c>
      <c r="C9" s="4" t="s">
        <v>180</v>
      </c>
      <c r="D9" s="4">
        <v>25</v>
      </c>
    </row>
    <row r="10" spans="1:4" ht="28.8" x14ac:dyDescent="0.3">
      <c r="A10" s="4" t="s">
        <v>181</v>
      </c>
      <c r="B10" s="4" t="s">
        <v>182</v>
      </c>
      <c r="C10" s="4" t="s">
        <v>183</v>
      </c>
      <c r="D10" s="4">
        <v>99</v>
      </c>
    </row>
    <row r="11" spans="1:4" x14ac:dyDescent="0.3">
      <c r="A11" s="4" t="s">
        <v>184</v>
      </c>
      <c r="B11" s="4" t="s">
        <v>185</v>
      </c>
      <c r="C11" s="4" t="s">
        <v>186</v>
      </c>
      <c r="D11" s="4">
        <v>43</v>
      </c>
    </row>
    <row r="12" spans="1:4" ht="28.8" x14ac:dyDescent="0.3">
      <c r="A12" s="4" t="s">
        <v>187</v>
      </c>
      <c r="B12" s="4" t="s">
        <v>188</v>
      </c>
      <c r="C12" s="4" t="s">
        <v>189</v>
      </c>
      <c r="D12" s="4">
        <v>7</v>
      </c>
    </row>
    <row r="13" spans="1:4" x14ac:dyDescent="0.3">
      <c r="A13" s="4" t="s">
        <v>190</v>
      </c>
      <c r="B13" s="4" t="s">
        <v>191</v>
      </c>
      <c r="C13" s="4" t="s">
        <v>192</v>
      </c>
      <c r="D13" s="4">
        <v>5</v>
      </c>
    </row>
    <row r="14" spans="1:4" ht="28.8" x14ac:dyDescent="0.3">
      <c r="A14" s="4" t="s">
        <v>193</v>
      </c>
      <c r="B14" s="4" t="s">
        <v>194</v>
      </c>
      <c r="C14" s="4" t="s">
        <v>195</v>
      </c>
      <c r="D14" s="4">
        <v>7</v>
      </c>
    </row>
    <row r="15" spans="1:4" x14ac:dyDescent="0.3">
      <c r="A15" s="4" t="s">
        <v>196</v>
      </c>
      <c r="B15" s="4" t="s">
        <v>197</v>
      </c>
      <c r="C15" s="4" t="s">
        <v>198</v>
      </c>
      <c r="D15" s="4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40" customWidth="1"/>
    <col min="3" max="3" width="20" customWidth="1"/>
    <col min="4" max="4" width="52" customWidth="1"/>
    <col min="5" max="5" width="26" customWidth="1"/>
  </cols>
  <sheetData>
    <row r="1" spans="1:5" ht="28.8" x14ac:dyDescent="0.3">
      <c r="A1" s="1" t="s">
        <v>1</v>
      </c>
      <c r="B1" s="1" t="s">
        <v>199</v>
      </c>
      <c r="C1" s="1" t="s">
        <v>77</v>
      </c>
      <c r="D1" s="1" t="s">
        <v>78</v>
      </c>
      <c r="E1" s="1" t="s">
        <v>38</v>
      </c>
    </row>
    <row r="2" spans="1:5" x14ac:dyDescent="0.3">
      <c r="A2" t="s">
        <v>200</v>
      </c>
      <c r="B2" t="s">
        <v>201</v>
      </c>
      <c r="C2" t="s">
        <v>202</v>
      </c>
      <c r="D2" t="s">
        <v>59</v>
      </c>
      <c r="E2" s="3">
        <v>8266</v>
      </c>
    </row>
    <row r="3" spans="1:5" x14ac:dyDescent="0.3">
      <c r="A3" t="s">
        <v>200</v>
      </c>
      <c r="B3" t="s">
        <v>201</v>
      </c>
      <c r="C3" t="s">
        <v>202</v>
      </c>
      <c r="D3" t="s">
        <v>203</v>
      </c>
      <c r="E3" s="3">
        <v>2638</v>
      </c>
    </row>
    <row r="4" spans="1:5" x14ac:dyDescent="0.3">
      <c r="A4" t="s">
        <v>200</v>
      </c>
      <c r="B4" t="s">
        <v>201</v>
      </c>
      <c r="C4" t="s">
        <v>202</v>
      </c>
      <c r="D4" t="s">
        <v>53</v>
      </c>
      <c r="E4" s="3">
        <v>1601</v>
      </c>
    </row>
    <row r="5" spans="1:5" x14ac:dyDescent="0.3">
      <c r="A5" t="s">
        <v>200</v>
      </c>
      <c r="B5" t="s">
        <v>201</v>
      </c>
      <c r="C5" t="s">
        <v>202</v>
      </c>
      <c r="D5" t="s">
        <v>204</v>
      </c>
      <c r="E5" s="3">
        <v>571</v>
      </c>
    </row>
    <row r="6" spans="1:5" x14ac:dyDescent="0.3">
      <c r="A6" t="s">
        <v>200</v>
      </c>
      <c r="B6" t="s">
        <v>201</v>
      </c>
      <c r="C6" t="s">
        <v>202</v>
      </c>
      <c r="D6" t="s">
        <v>205</v>
      </c>
      <c r="E6" s="3">
        <v>362</v>
      </c>
    </row>
    <row r="7" spans="1:5" x14ac:dyDescent="0.3">
      <c r="A7" t="s">
        <v>200</v>
      </c>
      <c r="B7" t="s">
        <v>201</v>
      </c>
      <c r="C7" t="s">
        <v>202</v>
      </c>
      <c r="D7" t="s">
        <v>206</v>
      </c>
      <c r="E7" s="3">
        <v>258</v>
      </c>
    </row>
    <row r="8" spans="1:5" x14ac:dyDescent="0.3">
      <c r="A8" t="s">
        <v>200</v>
      </c>
      <c r="B8" t="s">
        <v>201</v>
      </c>
      <c r="C8" t="s">
        <v>202</v>
      </c>
      <c r="D8" t="s">
        <v>207</v>
      </c>
      <c r="E8" s="3">
        <v>210</v>
      </c>
    </row>
    <row r="9" spans="1:5" x14ac:dyDescent="0.3">
      <c r="A9" t="s">
        <v>200</v>
      </c>
      <c r="B9" t="s">
        <v>201</v>
      </c>
      <c r="C9" t="s">
        <v>202</v>
      </c>
      <c r="D9" t="s">
        <v>208</v>
      </c>
      <c r="E9" s="3">
        <v>208</v>
      </c>
    </row>
    <row r="10" spans="1:5" x14ac:dyDescent="0.3">
      <c r="A10" t="s">
        <v>200</v>
      </c>
      <c r="B10" t="s">
        <v>201</v>
      </c>
      <c r="C10" t="s">
        <v>202</v>
      </c>
      <c r="D10" t="s">
        <v>209</v>
      </c>
      <c r="E10" s="3">
        <v>106</v>
      </c>
    </row>
    <row r="11" spans="1:5" x14ac:dyDescent="0.3">
      <c r="A11" t="s">
        <v>200</v>
      </c>
      <c r="B11" t="s">
        <v>201</v>
      </c>
      <c r="C11" t="s">
        <v>202</v>
      </c>
      <c r="D11" t="s">
        <v>210</v>
      </c>
      <c r="E11" s="3">
        <v>79</v>
      </c>
    </row>
    <row r="12" spans="1:5" x14ac:dyDescent="0.3">
      <c r="A12" t="s">
        <v>200</v>
      </c>
      <c r="B12" t="s">
        <v>201</v>
      </c>
      <c r="C12" t="s">
        <v>202</v>
      </c>
      <c r="D12" t="s">
        <v>211</v>
      </c>
      <c r="E12" s="3">
        <v>79</v>
      </c>
    </row>
    <row r="13" spans="1:5" x14ac:dyDescent="0.3">
      <c r="A13" t="s">
        <v>200</v>
      </c>
      <c r="B13" t="s">
        <v>201</v>
      </c>
      <c r="C13" t="s">
        <v>212</v>
      </c>
      <c r="D13" t="s">
        <v>213</v>
      </c>
      <c r="E13" s="3">
        <v>218</v>
      </c>
    </row>
    <row r="14" spans="1:5" x14ac:dyDescent="0.3">
      <c r="A14" t="s">
        <v>200</v>
      </c>
      <c r="B14" t="s">
        <v>201</v>
      </c>
      <c r="C14" t="s">
        <v>212</v>
      </c>
      <c r="D14" t="s">
        <v>214</v>
      </c>
      <c r="E14" s="3">
        <v>138</v>
      </c>
    </row>
    <row r="15" spans="1:5" x14ac:dyDescent="0.3">
      <c r="A15" t="s">
        <v>200</v>
      </c>
      <c r="B15" t="s">
        <v>201</v>
      </c>
      <c r="C15" t="s">
        <v>212</v>
      </c>
      <c r="D15" t="s">
        <v>215</v>
      </c>
      <c r="E15" s="3">
        <v>105</v>
      </c>
    </row>
    <row r="16" spans="1:5" x14ac:dyDescent="0.3">
      <c r="A16" t="s">
        <v>200</v>
      </c>
      <c r="B16" t="s">
        <v>201</v>
      </c>
      <c r="C16" t="s">
        <v>212</v>
      </c>
      <c r="D16" t="s">
        <v>216</v>
      </c>
      <c r="E16" s="3">
        <v>80</v>
      </c>
    </row>
    <row r="17" spans="1:5" x14ac:dyDescent="0.3">
      <c r="A17" t="s">
        <v>200</v>
      </c>
      <c r="B17" t="s">
        <v>201</v>
      </c>
      <c r="C17" t="s">
        <v>217</v>
      </c>
      <c r="D17" t="s">
        <v>218</v>
      </c>
      <c r="E17" s="3">
        <v>308</v>
      </c>
    </row>
    <row r="18" spans="1:5" x14ac:dyDescent="0.3">
      <c r="A18" t="s">
        <v>200</v>
      </c>
      <c r="B18" t="s">
        <v>201</v>
      </c>
      <c r="C18" t="s">
        <v>217</v>
      </c>
      <c r="D18" t="s">
        <v>219</v>
      </c>
      <c r="E18" s="3">
        <v>119</v>
      </c>
    </row>
    <row r="19" spans="1:5" x14ac:dyDescent="0.3">
      <c r="A19" t="s">
        <v>200</v>
      </c>
      <c r="B19" t="s">
        <v>201</v>
      </c>
      <c r="C19" t="s">
        <v>217</v>
      </c>
      <c r="D19" t="s">
        <v>220</v>
      </c>
      <c r="E19" s="3">
        <v>115</v>
      </c>
    </row>
    <row r="20" spans="1:5" x14ac:dyDescent="0.3">
      <c r="A20" t="s">
        <v>221</v>
      </c>
      <c r="B20" t="s">
        <v>222</v>
      </c>
      <c r="C20" t="s">
        <v>223</v>
      </c>
      <c r="D20" t="s">
        <v>224</v>
      </c>
      <c r="E20" s="3">
        <v>141</v>
      </c>
    </row>
    <row r="21" spans="1:5" x14ac:dyDescent="0.3">
      <c r="A21" t="s">
        <v>221</v>
      </c>
      <c r="B21" t="s">
        <v>222</v>
      </c>
      <c r="C21" t="s">
        <v>223</v>
      </c>
      <c r="D21" t="s">
        <v>225</v>
      </c>
      <c r="E21" s="3">
        <v>110</v>
      </c>
    </row>
    <row r="22" spans="1:5" x14ac:dyDescent="0.3">
      <c r="A22" t="s">
        <v>221</v>
      </c>
      <c r="B22" t="s">
        <v>222</v>
      </c>
      <c r="C22" t="s">
        <v>223</v>
      </c>
      <c r="D22" t="s">
        <v>226</v>
      </c>
      <c r="E22" s="3">
        <v>73</v>
      </c>
    </row>
    <row r="23" spans="1:5" x14ac:dyDescent="0.3">
      <c r="A23" t="s">
        <v>221</v>
      </c>
      <c r="B23" t="s">
        <v>222</v>
      </c>
      <c r="C23" t="s">
        <v>223</v>
      </c>
      <c r="D23" t="s">
        <v>227</v>
      </c>
      <c r="E23" s="3">
        <v>68</v>
      </c>
    </row>
    <row r="24" spans="1:5" x14ac:dyDescent="0.3">
      <c r="A24" t="s">
        <v>221</v>
      </c>
      <c r="B24" t="s">
        <v>222</v>
      </c>
      <c r="C24" t="s">
        <v>223</v>
      </c>
      <c r="D24" t="s">
        <v>228</v>
      </c>
      <c r="E24" s="3">
        <v>54</v>
      </c>
    </row>
    <row r="25" spans="1:5" x14ac:dyDescent="0.3">
      <c r="A25" t="s">
        <v>221</v>
      </c>
      <c r="B25" t="s">
        <v>222</v>
      </c>
      <c r="C25" t="s">
        <v>223</v>
      </c>
      <c r="D25" t="s">
        <v>57</v>
      </c>
      <c r="E25" s="3">
        <v>15</v>
      </c>
    </row>
    <row r="26" spans="1:5" x14ac:dyDescent="0.3">
      <c r="A26" t="s">
        <v>221</v>
      </c>
      <c r="B26" t="s">
        <v>222</v>
      </c>
      <c r="C26" t="s">
        <v>229</v>
      </c>
      <c r="D26" t="s">
        <v>230</v>
      </c>
      <c r="E26" s="3">
        <v>89</v>
      </c>
    </row>
    <row r="27" spans="1:5" x14ac:dyDescent="0.3">
      <c r="A27" t="s">
        <v>221</v>
      </c>
      <c r="B27" t="s">
        <v>222</v>
      </c>
      <c r="C27" t="s">
        <v>229</v>
      </c>
      <c r="D27" t="s">
        <v>231</v>
      </c>
      <c r="E27" s="3">
        <v>82</v>
      </c>
    </row>
    <row r="28" spans="1:5" x14ac:dyDescent="0.3">
      <c r="A28" t="s">
        <v>221</v>
      </c>
      <c r="B28" t="s">
        <v>222</v>
      </c>
      <c r="C28" t="s">
        <v>229</v>
      </c>
      <c r="D28" t="s">
        <v>232</v>
      </c>
      <c r="E28" s="3">
        <v>29</v>
      </c>
    </row>
    <row r="29" spans="1:5" x14ac:dyDescent="0.3">
      <c r="A29" t="s">
        <v>233</v>
      </c>
      <c r="B29" t="s">
        <v>234</v>
      </c>
      <c r="C29" t="s">
        <v>235</v>
      </c>
      <c r="D29" t="s">
        <v>61</v>
      </c>
      <c r="E29" s="3">
        <v>1804</v>
      </c>
    </row>
    <row r="30" spans="1:5" x14ac:dyDescent="0.3">
      <c r="A30" t="s">
        <v>233</v>
      </c>
      <c r="B30" t="s">
        <v>234</v>
      </c>
      <c r="C30" t="s">
        <v>235</v>
      </c>
      <c r="D30" t="s">
        <v>236</v>
      </c>
      <c r="E30" s="3">
        <v>847</v>
      </c>
    </row>
    <row r="31" spans="1:5" x14ac:dyDescent="0.3">
      <c r="A31" t="s">
        <v>233</v>
      </c>
      <c r="B31" t="s">
        <v>234</v>
      </c>
      <c r="C31" t="s">
        <v>235</v>
      </c>
      <c r="D31" t="s">
        <v>237</v>
      </c>
      <c r="E31" s="3">
        <v>807</v>
      </c>
    </row>
    <row r="32" spans="1:5" x14ac:dyDescent="0.3">
      <c r="A32" t="s">
        <v>233</v>
      </c>
      <c r="B32" t="s">
        <v>234</v>
      </c>
      <c r="C32" t="s">
        <v>235</v>
      </c>
      <c r="D32" t="s">
        <v>238</v>
      </c>
      <c r="E32" s="3">
        <v>750</v>
      </c>
    </row>
    <row r="33" spans="1:5" x14ac:dyDescent="0.3">
      <c r="A33" t="s">
        <v>233</v>
      </c>
      <c r="B33" t="s">
        <v>234</v>
      </c>
      <c r="C33" t="s">
        <v>235</v>
      </c>
      <c r="D33" t="s">
        <v>239</v>
      </c>
      <c r="E33" s="3">
        <v>404</v>
      </c>
    </row>
    <row r="34" spans="1:5" x14ac:dyDescent="0.3">
      <c r="A34" t="s">
        <v>233</v>
      </c>
      <c r="B34" t="s">
        <v>234</v>
      </c>
      <c r="C34" t="s">
        <v>240</v>
      </c>
      <c r="D34" t="s">
        <v>241</v>
      </c>
      <c r="E34" s="3">
        <v>395</v>
      </c>
    </row>
    <row r="35" spans="1:5" x14ac:dyDescent="0.3">
      <c r="A35" t="s">
        <v>233</v>
      </c>
      <c r="B35" t="s">
        <v>234</v>
      </c>
      <c r="C35" t="s">
        <v>235</v>
      </c>
      <c r="D35" t="s">
        <v>242</v>
      </c>
      <c r="E35" s="3">
        <v>299</v>
      </c>
    </row>
    <row r="36" spans="1:5" x14ac:dyDescent="0.3">
      <c r="A36" t="s">
        <v>233</v>
      </c>
      <c r="B36" t="s">
        <v>234</v>
      </c>
      <c r="C36" t="s">
        <v>240</v>
      </c>
      <c r="D36" t="s">
        <v>243</v>
      </c>
      <c r="E36" s="3">
        <v>258</v>
      </c>
    </row>
    <row r="37" spans="1:5" x14ac:dyDescent="0.3">
      <c r="A37" t="s">
        <v>233</v>
      </c>
      <c r="B37" t="s">
        <v>234</v>
      </c>
      <c r="C37" t="s">
        <v>240</v>
      </c>
      <c r="D37" t="s">
        <v>244</v>
      </c>
      <c r="E37" s="3">
        <v>168</v>
      </c>
    </row>
    <row r="38" spans="1:5" x14ac:dyDescent="0.3">
      <c r="A38" t="s">
        <v>233</v>
      </c>
      <c r="B38" t="s">
        <v>234</v>
      </c>
      <c r="C38" t="s">
        <v>245</v>
      </c>
      <c r="D38" t="s">
        <v>246</v>
      </c>
      <c r="E38" s="3">
        <v>85</v>
      </c>
    </row>
    <row r="39" spans="1:5" x14ac:dyDescent="0.3">
      <c r="A39" t="s">
        <v>233</v>
      </c>
      <c r="B39" t="s">
        <v>234</v>
      </c>
      <c r="C39" t="s">
        <v>235</v>
      </c>
      <c r="D39" t="s">
        <v>247</v>
      </c>
      <c r="E39" s="3">
        <v>83</v>
      </c>
    </row>
    <row r="40" spans="1:5" x14ac:dyDescent="0.3">
      <c r="A40" t="s">
        <v>233</v>
      </c>
      <c r="B40" t="s">
        <v>234</v>
      </c>
      <c r="C40" t="s">
        <v>235</v>
      </c>
      <c r="D40" t="s">
        <v>248</v>
      </c>
      <c r="E40" s="3">
        <v>74</v>
      </c>
    </row>
    <row r="41" spans="1:5" x14ac:dyDescent="0.3">
      <c r="A41" t="s">
        <v>233</v>
      </c>
      <c r="B41" t="s">
        <v>234</v>
      </c>
      <c r="C41" t="s">
        <v>240</v>
      </c>
      <c r="D41" t="s">
        <v>249</v>
      </c>
      <c r="E41" s="3">
        <v>69</v>
      </c>
    </row>
    <row r="42" spans="1:5" x14ac:dyDescent="0.3">
      <c r="A42" t="s">
        <v>233</v>
      </c>
      <c r="B42" t="s">
        <v>234</v>
      </c>
      <c r="C42" t="s">
        <v>240</v>
      </c>
      <c r="D42" t="s">
        <v>250</v>
      </c>
      <c r="E42" s="3">
        <v>56</v>
      </c>
    </row>
    <row r="43" spans="1:5" x14ac:dyDescent="0.3">
      <c r="A43" t="s">
        <v>233</v>
      </c>
      <c r="B43" t="s">
        <v>234</v>
      </c>
      <c r="C43" t="s">
        <v>251</v>
      </c>
      <c r="D43" t="s">
        <v>252</v>
      </c>
      <c r="E43" s="3">
        <v>434</v>
      </c>
    </row>
    <row r="44" spans="1:5" x14ac:dyDescent="0.3">
      <c r="A44" t="s">
        <v>233</v>
      </c>
      <c r="B44" t="s">
        <v>234</v>
      </c>
      <c r="C44" t="s">
        <v>251</v>
      </c>
      <c r="D44" t="s">
        <v>253</v>
      </c>
      <c r="E44" s="3">
        <v>406</v>
      </c>
    </row>
    <row r="45" spans="1:5" x14ac:dyDescent="0.3">
      <c r="A45" t="s">
        <v>233</v>
      </c>
      <c r="B45" t="s">
        <v>234</v>
      </c>
      <c r="C45" t="s">
        <v>251</v>
      </c>
      <c r="D45" t="s">
        <v>254</v>
      </c>
      <c r="E45" s="3">
        <v>178</v>
      </c>
    </row>
    <row r="46" spans="1:5" x14ac:dyDescent="0.3">
      <c r="A46" t="s">
        <v>233</v>
      </c>
      <c r="B46" t="s">
        <v>234</v>
      </c>
      <c r="C46" t="s">
        <v>251</v>
      </c>
      <c r="D46" t="s">
        <v>255</v>
      </c>
      <c r="E46" s="3">
        <v>137</v>
      </c>
    </row>
    <row r="47" spans="1:5" x14ac:dyDescent="0.3">
      <c r="A47" t="s">
        <v>233</v>
      </c>
      <c r="B47" t="s">
        <v>234</v>
      </c>
      <c r="C47" t="s">
        <v>251</v>
      </c>
      <c r="D47" t="s">
        <v>256</v>
      </c>
      <c r="E47" s="3">
        <v>103</v>
      </c>
    </row>
    <row r="48" spans="1:5" x14ac:dyDescent="0.3">
      <c r="A48" t="s">
        <v>233</v>
      </c>
      <c r="B48" t="s">
        <v>234</v>
      </c>
      <c r="C48" t="s">
        <v>257</v>
      </c>
      <c r="D48" t="s">
        <v>258</v>
      </c>
      <c r="E48" s="3">
        <v>293</v>
      </c>
    </row>
    <row r="49" spans="1:5" x14ac:dyDescent="0.3">
      <c r="A49" t="s">
        <v>233</v>
      </c>
      <c r="B49" t="s">
        <v>234</v>
      </c>
      <c r="C49" t="s">
        <v>257</v>
      </c>
      <c r="D49" t="s">
        <v>259</v>
      </c>
      <c r="E49" s="3">
        <v>94</v>
      </c>
    </row>
    <row r="50" spans="1:5" x14ac:dyDescent="0.3">
      <c r="A50" t="s">
        <v>260</v>
      </c>
      <c r="B50" t="s">
        <v>261</v>
      </c>
      <c r="C50" t="s">
        <v>262</v>
      </c>
      <c r="D50" t="s">
        <v>263</v>
      </c>
      <c r="E50" s="3">
        <v>21241</v>
      </c>
    </row>
    <row r="51" spans="1:5" x14ac:dyDescent="0.3">
      <c r="A51" t="s">
        <v>260</v>
      </c>
      <c r="B51" t="s">
        <v>261</v>
      </c>
      <c r="C51" t="s">
        <v>262</v>
      </c>
      <c r="D51" t="s">
        <v>264</v>
      </c>
      <c r="E51" s="3">
        <v>17144</v>
      </c>
    </row>
    <row r="52" spans="1:5" x14ac:dyDescent="0.3">
      <c r="A52" t="s">
        <v>260</v>
      </c>
      <c r="B52" t="s">
        <v>261</v>
      </c>
      <c r="C52" t="s">
        <v>251</v>
      </c>
      <c r="D52" t="s">
        <v>265</v>
      </c>
      <c r="E52" s="3">
        <v>14539</v>
      </c>
    </row>
    <row r="53" spans="1:5" x14ac:dyDescent="0.3">
      <c r="A53" t="s">
        <v>260</v>
      </c>
      <c r="B53" t="s">
        <v>261</v>
      </c>
      <c r="C53" t="s">
        <v>251</v>
      </c>
      <c r="D53" t="s">
        <v>266</v>
      </c>
      <c r="E53" s="3">
        <v>7937</v>
      </c>
    </row>
    <row r="54" spans="1:5" x14ac:dyDescent="0.3">
      <c r="A54" t="s">
        <v>260</v>
      </c>
      <c r="B54" t="s">
        <v>261</v>
      </c>
      <c r="C54" t="s">
        <v>262</v>
      </c>
      <c r="D54" t="s">
        <v>267</v>
      </c>
      <c r="E54" s="3">
        <v>5937</v>
      </c>
    </row>
    <row r="55" spans="1:5" x14ac:dyDescent="0.3">
      <c r="A55" t="s">
        <v>260</v>
      </c>
      <c r="B55" t="s">
        <v>261</v>
      </c>
      <c r="C55" t="s">
        <v>251</v>
      </c>
      <c r="D55" t="s">
        <v>268</v>
      </c>
      <c r="E55" s="3">
        <v>5928</v>
      </c>
    </row>
    <row r="56" spans="1:5" x14ac:dyDescent="0.3">
      <c r="A56" t="s">
        <v>260</v>
      </c>
      <c r="B56" t="s">
        <v>261</v>
      </c>
      <c r="C56" t="s">
        <v>223</v>
      </c>
      <c r="D56" t="s">
        <v>269</v>
      </c>
      <c r="E56" s="3">
        <v>3154</v>
      </c>
    </row>
    <row r="57" spans="1:5" x14ac:dyDescent="0.3">
      <c r="A57" t="s">
        <v>260</v>
      </c>
      <c r="B57" t="s">
        <v>261</v>
      </c>
      <c r="C57" t="s">
        <v>262</v>
      </c>
      <c r="D57" t="s">
        <v>270</v>
      </c>
      <c r="E57" s="3">
        <v>2856</v>
      </c>
    </row>
    <row r="58" spans="1:5" x14ac:dyDescent="0.3">
      <c r="A58" t="s">
        <v>260</v>
      </c>
      <c r="B58" t="s">
        <v>261</v>
      </c>
      <c r="C58" t="s">
        <v>223</v>
      </c>
      <c r="D58" t="s">
        <v>271</v>
      </c>
      <c r="E58" s="3">
        <v>2455</v>
      </c>
    </row>
    <row r="59" spans="1:5" x14ac:dyDescent="0.3">
      <c r="A59" t="s">
        <v>260</v>
      </c>
      <c r="B59" t="s">
        <v>261</v>
      </c>
      <c r="C59" t="s">
        <v>223</v>
      </c>
      <c r="D59" t="s">
        <v>272</v>
      </c>
      <c r="E59" s="3">
        <v>705</v>
      </c>
    </row>
    <row r="60" spans="1:5" x14ac:dyDescent="0.3">
      <c r="A60" t="s">
        <v>260</v>
      </c>
      <c r="B60" t="s">
        <v>261</v>
      </c>
      <c r="C60" t="s">
        <v>262</v>
      </c>
      <c r="D60" t="s">
        <v>273</v>
      </c>
      <c r="E60" s="3">
        <v>496</v>
      </c>
    </row>
    <row r="61" spans="1:5" x14ac:dyDescent="0.3">
      <c r="A61" t="s">
        <v>260</v>
      </c>
      <c r="B61" t="s">
        <v>261</v>
      </c>
      <c r="C61" t="s">
        <v>262</v>
      </c>
      <c r="D61" t="s">
        <v>274</v>
      </c>
      <c r="E61" s="3">
        <v>437</v>
      </c>
    </row>
    <row r="62" spans="1:5" x14ac:dyDescent="0.3">
      <c r="A62" t="s">
        <v>260</v>
      </c>
      <c r="B62" t="s">
        <v>261</v>
      </c>
      <c r="C62" t="s">
        <v>223</v>
      </c>
      <c r="D62" t="s">
        <v>275</v>
      </c>
      <c r="E62" s="3">
        <v>294</v>
      </c>
    </row>
    <row r="63" spans="1:5" x14ac:dyDescent="0.3">
      <c r="A63" t="s">
        <v>260</v>
      </c>
      <c r="B63" t="s">
        <v>261</v>
      </c>
      <c r="C63" t="s">
        <v>276</v>
      </c>
      <c r="D63" t="s">
        <v>277</v>
      </c>
      <c r="E63" s="3">
        <v>271</v>
      </c>
    </row>
    <row r="64" spans="1:5" x14ac:dyDescent="0.3">
      <c r="A64" t="s">
        <v>260</v>
      </c>
      <c r="B64" t="s">
        <v>261</v>
      </c>
      <c r="C64" t="s">
        <v>262</v>
      </c>
      <c r="D64" t="s">
        <v>278</v>
      </c>
      <c r="E64" s="3">
        <v>258</v>
      </c>
    </row>
    <row r="65" spans="1:5" x14ac:dyDescent="0.3">
      <c r="A65" t="s">
        <v>260</v>
      </c>
      <c r="B65" t="s">
        <v>261</v>
      </c>
      <c r="C65" t="s">
        <v>262</v>
      </c>
      <c r="D65" t="s">
        <v>279</v>
      </c>
      <c r="E65" s="3">
        <v>241</v>
      </c>
    </row>
    <row r="66" spans="1:5" x14ac:dyDescent="0.3">
      <c r="A66" t="s">
        <v>260</v>
      </c>
      <c r="B66" t="s">
        <v>261</v>
      </c>
      <c r="C66" t="s">
        <v>262</v>
      </c>
      <c r="D66" t="s">
        <v>165</v>
      </c>
      <c r="E66" s="3">
        <v>234</v>
      </c>
    </row>
    <row r="67" spans="1:5" x14ac:dyDescent="0.3">
      <c r="A67" t="s">
        <v>260</v>
      </c>
      <c r="B67" t="s">
        <v>261</v>
      </c>
      <c r="C67" t="s">
        <v>223</v>
      </c>
      <c r="D67" t="s">
        <v>280</v>
      </c>
      <c r="E67" s="3">
        <v>186</v>
      </c>
    </row>
    <row r="68" spans="1:5" x14ac:dyDescent="0.3">
      <c r="A68" t="s">
        <v>260</v>
      </c>
      <c r="B68" t="s">
        <v>261</v>
      </c>
      <c r="C68" t="s">
        <v>262</v>
      </c>
      <c r="D68" t="s">
        <v>281</v>
      </c>
      <c r="E68" s="3">
        <v>130</v>
      </c>
    </row>
    <row r="69" spans="1:5" x14ac:dyDescent="0.3">
      <c r="A69" t="s">
        <v>260</v>
      </c>
      <c r="B69" t="s">
        <v>261</v>
      </c>
      <c r="C69" t="s">
        <v>276</v>
      </c>
      <c r="D69" t="s">
        <v>282</v>
      </c>
      <c r="E69" s="3">
        <v>130</v>
      </c>
    </row>
    <row r="70" spans="1:5" x14ac:dyDescent="0.3">
      <c r="A70" t="s">
        <v>283</v>
      </c>
      <c r="B70" t="s">
        <v>284</v>
      </c>
      <c r="C70" t="s">
        <v>285</v>
      </c>
      <c r="D70" t="s">
        <v>65</v>
      </c>
      <c r="E70" s="3">
        <v>14963</v>
      </c>
    </row>
    <row r="71" spans="1:5" x14ac:dyDescent="0.3">
      <c r="A71" t="s">
        <v>283</v>
      </c>
      <c r="B71" t="s">
        <v>284</v>
      </c>
      <c r="C71" t="s">
        <v>285</v>
      </c>
      <c r="D71" t="s">
        <v>286</v>
      </c>
      <c r="E71" s="3">
        <v>1797</v>
      </c>
    </row>
    <row r="72" spans="1:5" x14ac:dyDescent="0.3">
      <c r="A72" t="s">
        <v>283</v>
      </c>
      <c r="B72" t="s">
        <v>284</v>
      </c>
      <c r="C72" t="s">
        <v>285</v>
      </c>
      <c r="D72" t="s">
        <v>287</v>
      </c>
      <c r="E72" s="3">
        <v>1622</v>
      </c>
    </row>
    <row r="73" spans="1:5" x14ac:dyDescent="0.3">
      <c r="A73" t="s">
        <v>283</v>
      </c>
      <c r="B73" t="s">
        <v>284</v>
      </c>
      <c r="C73" t="s">
        <v>285</v>
      </c>
      <c r="D73" t="s">
        <v>288</v>
      </c>
      <c r="E73" s="3">
        <v>1312</v>
      </c>
    </row>
    <row r="74" spans="1:5" x14ac:dyDescent="0.3">
      <c r="A74" t="s">
        <v>283</v>
      </c>
      <c r="B74" t="s">
        <v>284</v>
      </c>
      <c r="C74" t="s">
        <v>285</v>
      </c>
      <c r="D74" t="s">
        <v>289</v>
      </c>
      <c r="E74" s="3">
        <v>799</v>
      </c>
    </row>
    <row r="75" spans="1:5" x14ac:dyDescent="0.3">
      <c r="A75" t="s">
        <v>283</v>
      </c>
      <c r="B75" t="s">
        <v>284</v>
      </c>
      <c r="C75" t="s">
        <v>285</v>
      </c>
      <c r="D75" t="s">
        <v>290</v>
      </c>
      <c r="E75" s="3">
        <v>685</v>
      </c>
    </row>
    <row r="76" spans="1:5" x14ac:dyDescent="0.3">
      <c r="A76" t="s">
        <v>283</v>
      </c>
      <c r="B76" t="s">
        <v>284</v>
      </c>
      <c r="C76" t="s">
        <v>291</v>
      </c>
      <c r="D76" t="s">
        <v>292</v>
      </c>
      <c r="E76" s="3">
        <v>530</v>
      </c>
    </row>
    <row r="77" spans="1:5" x14ac:dyDescent="0.3">
      <c r="A77" t="s">
        <v>283</v>
      </c>
      <c r="B77" t="s">
        <v>284</v>
      </c>
      <c r="C77" t="s">
        <v>285</v>
      </c>
      <c r="D77" t="s">
        <v>293</v>
      </c>
      <c r="E77" s="3">
        <v>403</v>
      </c>
    </row>
    <row r="78" spans="1:5" x14ac:dyDescent="0.3">
      <c r="A78" t="s">
        <v>283</v>
      </c>
      <c r="B78" t="s">
        <v>284</v>
      </c>
      <c r="C78" t="s">
        <v>285</v>
      </c>
      <c r="D78" t="s">
        <v>294</v>
      </c>
      <c r="E78" s="3">
        <v>362</v>
      </c>
    </row>
    <row r="79" spans="1:5" x14ac:dyDescent="0.3">
      <c r="A79" t="s">
        <v>283</v>
      </c>
      <c r="B79" t="s">
        <v>284</v>
      </c>
      <c r="C79" t="s">
        <v>285</v>
      </c>
      <c r="D79" t="s">
        <v>295</v>
      </c>
      <c r="E79" s="3">
        <v>341</v>
      </c>
    </row>
    <row r="80" spans="1:5" x14ac:dyDescent="0.3">
      <c r="A80" t="s">
        <v>283</v>
      </c>
      <c r="B80" t="s">
        <v>284</v>
      </c>
      <c r="C80" t="s">
        <v>285</v>
      </c>
      <c r="D80" t="s">
        <v>296</v>
      </c>
      <c r="E80" s="3">
        <v>329</v>
      </c>
    </row>
    <row r="81" spans="1:5" x14ac:dyDescent="0.3">
      <c r="A81" t="s">
        <v>283</v>
      </c>
      <c r="B81" t="s">
        <v>284</v>
      </c>
      <c r="C81" t="s">
        <v>297</v>
      </c>
      <c r="D81" t="s">
        <v>67</v>
      </c>
      <c r="E81" s="3">
        <v>231</v>
      </c>
    </row>
    <row r="82" spans="1:5" x14ac:dyDescent="0.3">
      <c r="A82" t="s">
        <v>283</v>
      </c>
      <c r="B82" t="s">
        <v>284</v>
      </c>
      <c r="C82" t="s">
        <v>297</v>
      </c>
      <c r="D82" t="s">
        <v>298</v>
      </c>
      <c r="E82" s="3">
        <v>19</v>
      </c>
    </row>
    <row r="83" spans="1:5" x14ac:dyDescent="0.3">
      <c r="A83" t="s">
        <v>283</v>
      </c>
      <c r="B83" t="s">
        <v>284</v>
      </c>
      <c r="C83" t="s">
        <v>297</v>
      </c>
      <c r="D83" t="s">
        <v>299</v>
      </c>
      <c r="E83" s="3">
        <v>6</v>
      </c>
    </row>
    <row r="84" spans="1:5" x14ac:dyDescent="0.3">
      <c r="A84" t="s">
        <v>300</v>
      </c>
      <c r="B84" t="s">
        <v>301</v>
      </c>
      <c r="C84" t="s">
        <v>302</v>
      </c>
      <c r="D84" t="s">
        <v>71</v>
      </c>
      <c r="E84" s="3">
        <v>6073</v>
      </c>
    </row>
    <row r="85" spans="1:5" x14ac:dyDescent="0.3">
      <c r="A85" t="s">
        <v>300</v>
      </c>
      <c r="B85" t="s">
        <v>301</v>
      </c>
      <c r="C85" t="s">
        <v>303</v>
      </c>
      <c r="D85" t="s">
        <v>304</v>
      </c>
      <c r="E85" s="3">
        <v>1014</v>
      </c>
    </row>
    <row r="86" spans="1:5" x14ac:dyDescent="0.3">
      <c r="A86" t="s">
        <v>300</v>
      </c>
      <c r="B86" t="s">
        <v>301</v>
      </c>
      <c r="C86" t="s">
        <v>302</v>
      </c>
      <c r="D86" t="s">
        <v>305</v>
      </c>
      <c r="E86" s="3">
        <v>667</v>
      </c>
    </row>
    <row r="87" spans="1:5" x14ac:dyDescent="0.3">
      <c r="A87" t="s">
        <v>300</v>
      </c>
      <c r="B87" t="s">
        <v>301</v>
      </c>
      <c r="C87" t="s">
        <v>306</v>
      </c>
      <c r="D87" t="s">
        <v>307</v>
      </c>
      <c r="E87" s="3">
        <v>647</v>
      </c>
    </row>
    <row r="88" spans="1:5" x14ac:dyDescent="0.3">
      <c r="A88" t="s">
        <v>300</v>
      </c>
      <c r="B88" t="s">
        <v>301</v>
      </c>
      <c r="C88" t="s">
        <v>302</v>
      </c>
      <c r="D88" t="s">
        <v>308</v>
      </c>
      <c r="E88" s="3">
        <v>630</v>
      </c>
    </row>
    <row r="89" spans="1:5" x14ac:dyDescent="0.3">
      <c r="A89" t="s">
        <v>300</v>
      </c>
      <c r="B89" t="s">
        <v>301</v>
      </c>
      <c r="C89" t="s">
        <v>309</v>
      </c>
      <c r="D89" t="s">
        <v>310</v>
      </c>
      <c r="E89" s="3">
        <v>586</v>
      </c>
    </row>
    <row r="90" spans="1:5" x14ac:dyDescent="0.3">
      <c r="A90" t="s">
        <v>300</v>
      </c>
      <c r="B90" t="s">
        <v>301</v>
      </c>
      <c r="C90" t="s">
        <v>302</v>
      </c>
      <c r="D90" t="s">
        <v>311</v>
      </c>
      <c r="E90" s="3">
        <v>393</v>
      </c>
    </row>
    <row r="91" spans="1:5" x14ac:dyDescent="0.3">
      <c r="A91" t="s">
        <v>300</v>
      </c>
      <c r="B91" t="s">
        <v>301</v>
      </c>
      <c r="C91" t="s">
        <v>306</v>
      </c>
      <c r="D91" t="s">
        <v>312</v>
      </c>
      <c r="E91" s="3">
        <v>291</v>
      </c>
    </row>
    <row r="92" spans="1:5" x14ac:dyDescent="0.3">
      <c r="A92" t="s">
        <v>300</v>
      </c>
      <c r="B92" t="s">
        <v>301</v>
      </c>
      <c r="C92" t="s">
        <v>309</v>
      </c>
      <c r="D92" t="s">
        <v>313</v>
      </c>
      <c r="E92" s="3">
        <v>232</v>
      </c>
    </row>
    <row r="93" spans="1:5" x14ac:dyDescent="0.3">
      <c r="A93" t="s">
        <v>300</v>
      </c>
      <c r="B93" t="s">
        <v>301</v>
      </c>
      <c r="C93" t="s">
        <v>309</v>
      </c>
      <c r="D93" t="s">
        <v>314</v>
      </c>
      <c r="E93" s="3">
        <v>170</v>
      </c>
    </row>
    <row r="94" spans="1:5" x14ac:dyDescent="0.3">
      <c r="A94" t="s">
        <v>300</v>
      </c>
      <c r="B94" t="s">
        <v>301</v>
      </c>
      <c r="C94" t="s">
        <v>306</v>
      </c>
      <c r="D94" t="s">
        <v>315</v>
      </c>
      <c r="E94" s="3">
        <v>141</v>
      </c>
    </row>
    <row r="95" spans="1:5" x14ac:dyDescent="0.3">
      <c r="A95" t="s">
        <v>300</v>
      </c>
      <c r="B95" t="s">
        <v>301</v>
      </c>
      <c r="C95" t="s">
        <v>303</v>
      </c>
      <c r="D95" t="s">
        <v>316</v>
      </c>
      <c r="E95" s="3">
        <v>117</v>
      </c>
    </row>
    <row r="96" spans="1:5" x14ac:dyDescent="0.3">
      <c r="A96" t="s">
        <v>317</v>
      </c>
      <c r="B96" t="s">
        <v>318</v>
      </c>
      <c r="C96" t="s">
        <v>319</v>
      </c>
      <c r="D96" t="s">
        <v>320</v>
      </c>
      <c r="E96" s="3">
        <v>1810</v>
      </c>
    </row>
    <row r="97" spans="1:5" x14ac:dyDescent="0.3">
      <c r="A97" t="s">
        <v>317</v>
      </c>
      <c r="B97" t="s">
        <v>318</v>
      </c>
      <c r="C97" t="s">
        <v>319</v>
      </c>
      <c r="D97" t="s">
        <v>321</v>
      </c>
      <c r="E97" s="3">
        <v>1218</v>
      </c>
    </row>
    <row r="98" spans="1:5" x14ac:dyDescent="0.3">
      <c r="A98" t="s">
        <v>317</v>
      </c>
      <c r="B98" t="s">
        <v>318</v>
      </c>
      <c r="C98" t="s">
        <v>319</v>
      </c>
      <c r="D98" t="s">
        <v>322</v>
      </c>
      <c r="E98" s="3">
        <v>1042</v>
      </c>
    </row>
    <row r="99" spans="1:5" x14ac:dyDescent="0.3">
      <c r="A99" t="s">
        <v>317</v>
      </c>
      <c r="B99" t="s">
        <v>318</v>
      </c>
      <c r="C99" t="s">
        <v>319</v>
      </c>
      <c r="D99" t="s">
        <v>323</v>
      </c>
      <c r="E99" s="3">
        <v>529</v>
      </c>
    </row>
    <row r="100" spans="1:5" x14ac:dyDescent="0.3">
      <c r="A100" t="s">
        <v>317</v>
      </c>
      <c r="B100" t="s">
        <v>318</v>
      </c>
      <c r="C100" t="s">
        <v>319</v>
      </c>
      <c r="D100" t="s">
        <v>324</v>
      </c>
      <c r="E100" s="3">
        <v>355</v>
      </c>
    </row>
    <row r="101" spans="1:5" x14ac:dyDescent="0.3">
      <c r="A101" t="s">
        <v>317</v>
      </c>
      <c r="B101" t="s">
        <v>318</v>
      </c>
      <c r="C101" t="s">
        <v>319</v>
      </c>
      <c r="D101" t="s">
        <v>325</v>
      </c>
      <c r="E101" s="3">
        <v>184</v>
      </c>
    </row>
    <row r="102" spans="1:5" x14ac:dyDescent="0.3">
      <c r="A102" t="s">
        <v>317</v>
      </c>
      <c r="B102" t="s">
        <v>318</v>
      </c>
      <c r="C102" t="s">
        <v>319</v>
      </c>
      <c r="D102" t="s">
        <v>326</v>
      </c>
      <c r="E102" s="3">
        <v>176</v>
      </c>
    </row>
    <row r="103" spans="1:5" x14ac:dyDescent="0.3">
      <c r="A103" t="s">
        <v>317</v>
      </c>
      <c r="B103" t="s">
        <v>318</v>
      </c>
      <c r="C103" t="s">
        <v>319</v>
      </c>
      <c r="D103" t="s">
        <v>327</v>
      </c>
      <c r="E103" s="3">
        <v>68</v>
      </c>
    </row>
    <row r="104" spans="1:5" x14ac:dyDescent="0.3">
      <c r="A104" t="s">
        <v>317</v>
      </c>
      <c r="B104" t="s">
        <v>318</v>
      </c>
      <c r="C104" t="s">
        <v>319</v>
      </c>
      <c r="D104" t="s">
        <v>328</v>
      </c>
      <c r="E104" s="3">
        <v>61</v>
      </c>
    </row>
    <row r="105" spans="1:5" x14ac:dyDescent="0.3">
      <c r="A105" t="s">
        <v>317</v>
      </c>
      <c r="B105" t="s">
        <v>318</v>
      </c>
      <c r="C105" t="s">
        <v>329</v>
      </c>
      <c r="D105" t="s">
        <v>330</v>
      </c>
      <c r="E105" s="3">
        <v>224</v>
      </c>
    </row>
    <row r="106" spans="1:5" x14ac:dyDescent="0.3">
      <c r="A106" t="s">
        <v>317</v>
      </c>
      <c r="B106" t="s">
        <v>318</v>
      </c>
      <c r="C106" t="s">
        <v>329</v>
      </c>
      <c r="D106" t="s">
        <v>331</v>
      </c>
      <c r="E106" s="3">
        <v>158</v>
      </c>
    </row>
    <row r="107" spans="1:5" x14ac:dyDescent="0.3">
      <c r="A107" t="s">
        <v>317</v>
      </c>
      <c r="B107" t="s">
        <v>318</v>
      </c>
      <c r="C107" t="s">
        <v>329</v>
      </c>
      <c r="D107" t="s">
        <v>332</v>
      </c>
      <c r="E107" s="3">
        <v>142</v>
      </c>
    </row>
    <row r="108" spans="1:5" x14ac:dyDescent="0.3">
      <c r="A108" t="s">
        <v>317</v>
      </c>
      <c r="B108" t="s">
        <v>318</v>
      </c>
      <c r="C108" t="s">
        <v>329</v>
      </c>
      <c r="D108" t="s">
        <v>333</v>
      </c>
      <c r="E108" s="3">
        <v>120</v>
      </c>
    </row>
    <row r="109" spans="1:5" x14ac:dyDescent="0.3">
      <c r="A109" t="s">
        <v>317</v>
      </c>
      <c r="B109" t="s">
        <v>318</v>
      </c>
      <c r="C109" t="s">
        <v>334</v>
      </c>
      <c r="D109" t="s">
        <v>76</v>
      </c>
      <c r="E109" s="3">
        <v>189</v>
      </c>
    </row>
    <row r="110" spans="1:5" x14ac:dyDescent="0.3">
      <c r="A110" t="s">
        <v>317</v>
      </c>
      <c r="B110" t="s">
        <v>318</v>
      </c>
      <c r="C110" t="s">
        <v>334</v>
      </c>
      <c r="D110" t="s">
        <v>335</v>
      </c>
      <c r="E110" s="3">
        <v>31</v>
      </c>
    </row>
    <row r="111" spans="1:5" x14ac:dyDescent="0.3">
      <c r="A111" t="s">
        <v>317</v>
      </c>
      <c r="B111" t="s">
        <v>318</v>
      </c>
      <c r="C111" t="s">
        <v>334</v>
      </c>
      <c r="D111" t="s">
        <v>336</v>
      </c>
      <c r="E111" s="3">
        <v>27</v>
      </c>
    </row>
    <row r="113" spans="1:1" x14ac:dyDescent="0.3">
      <c r="A113" t="s">
        <v>337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70" customWidth="1"/>
    <col min="3" max="3" width="44" customWidth="1"/>
    <col min="4" max="4" width="16" customWidth="1"/>
  </cols>
  <sheetData>
    <row r="1" spans="1:4" ht="28.8" x14ac:dyDescent="0.3">
      <c r="A1" s="1" t="s">
        <v>1</v>
      </c>
      <c r="B1" s="1" t="s">
        <v>154</v>
      </c>
      <c r="C1" s="1" t="s">
        <v>155</v>
      </c>
      <c r="D1" s="1" t="s">
        <v>156</v>
      </c>
    </row>
    <row r="2" spans="1:4" ht="28.8" x14ac:dyDescent="0.3">
      <c r="A2" s="4" t="s">
        <v>338</v>
      </c>
      <c r="B2" s="4" t="s">
        <v>339</v>
      </c>
      <c r="C2" s="4" t="s">
        <v>171</v>
      </c>
      <c r="D2" s="4">
        <v>258</v>
      </c>
    </row>
    <row r="3" spans="1:4" ht="28.8" x14ac:dyDescent="0.3">
      <c r="A3" s="4" t="s">
        <v>340</v>
      </c>
      <c r="B3" s="4" t="s">
        <v>341</v>
      </c>
      <c r="C3" s="4" t="s">
        <v>342</v>
      </c>
      <c r="D3" s="4">
        <v>240</v>
      </c>
    </row>
    <row r="4" spans="1:4" ht="57.6" x14ac:dyDescent="0.3">
      <c r="A4" s="4" t="s">
        <v>343</v>
      </c>
      <c r="B4" s="4" t="s">
        <v>344</v>
      </c>
      <c r="C4" s="4" t="s">
        <v>269</v>
      </c>
      <c r="D4" s="4">
        <v>3154</v>
      </c>
    </row>
    <row r="5" spans="1:4" ht="43.2" x14ac:dyDescent="0.3">
      <c r="A5" s="4" t="s">
        <v>200</v>
      </c>
      <c r="B5" s="4" t="s">
        <v>345</v>
      </c>
      <c r="C5" s="4" t="s">
        <v>230</v>
      </c>
      <c r="D5" s="4">
        <v>89</v>
      </c>
    </row>
    <row r="6" spans="1:4" ht="28.8" x14ac:dyDescent="0.3">
      <c r="A6" s="4" t="s">
        <v>221</v>
      </c>
      <c r="B6" s="4" t="s">
        <v>346</v>
      </c>
      <c r="C6" s="4"/>
      <c r="D6" s="4"/>
    </row>
    <row r="7" spans="1:4" x14ac:dyDescent="0.3">
      <c r="A7" s="4" t="s">
        <v>347</v>
      </c>
      <c r="B7" s="4" t="s">
        <v>348</v>
      </c>
      <c r="C7" s="4" t="s">
        <v>332</v>
      </c>
      <c r="D7" s="4">
        <v>142</v>
      </c>
    </row>
    <row r="8" spans="1:4" ht="43.2" x14ac:dyDescent="0.3">
      <c r="A8" s="4" t="s">
        <v>349</v>
      </c>
      <c r="B8" s="4" t="s">
        <v>350</v>
      </c>
      <c r="C8" s="4" t="s">
        <v>351</v>
      </c>
      <c r="D8" s="4">
        <v>1633</v>
      </c>
    </row>
    <row r="9" spans="1:4" x14ac:dyDescent="0.3">
      <c r="A9" s="4" t="s">
        <v>283</v>
      </c>
      <c r="B9" s="4" t="s">
        <v>352</v>
      </c>
      <c r="C9" s="4" t="s">
        <v>353</v>
      </c>
      <c r="D9" s="4">
        <v>428</v>
      </c>
    </row>
    <row r="10" spans="1:4" ht="28.8" x14ac:dyDescent="0.3">
      <c r="A10" s="4" t="s">
        <v>354</v>
      </c>
      <c r="B10" s="4" t="s">
        <v>355</v>
      </c>
      <c r="C10" s="4" t="s">
        <v>356</v>
      </c>
      <c r="D10" s="4">
        <v>360</v>
      </c>
    </row>
    <row r="11" spans="1:4" x14ac:dyDescent="0.3">
      <c r="A11" s="4" t="s">
        <v>317</v>
      </c>
      <c r="B11" s="4" t="s">
        <v>357</v>
      </c>
      <c r="C11" s="4" t="s">
        <v>358</v>
      </c>
      <c r="D11" s="4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6"/>
  <sheetViews>
    <sheetView workbookViewId="0"/>
  </sheetViews>
  <sheetFormatPr defaultRowHeight="14.4" x14ac:dyDescent="0.3"/>
  <cols>
    <col min="1" max="1" width="44" customWidth="1"/>
    <col min="2" max="2" width="16" customWidth="1"/>
    <col min="3" max="3" width="70" customWidth="1"/>
    <col min="4" max="6" width="14" customWidth="1"/>
  </cols>
  <sheetData>
    <row r="1" spans="1:3" x14ac:dyDescent="0.3">
      <c r="A1" s="2" t="s">
        <v>359</v>
      </c>
    </row>
    <row r="2" spans="1:3" x14ac:dyDescent="0.3">
      <c r="A2" s="1" t="s">
        <v>360</v>
      </c>
      <c r="B2" s="1" t="s">
        <v>361</v>
      </c>
      <c r="C2" s="1" t="s">
        <v>362</v>
      </c>
    </row>
    <row r="3" spans="1:3" x14ac:dyDescent="0.3">
      <c r="A3" t="s">
        <v>363</v>
      </c>
      <c r="B3" s="5">
        <v>100</v>
      </c>
      <c r="C3" t="s">
        <v>364</v>
      </c>
    </row>
    <row r="4" spans="1:3" x14ac:dyDescent="0.3">
      <c r="A4" t="s">
        <v>365</v>
      </c>
      <c r="B4" s="6">
        <v>0.1</v>
      </c>
      <c r="C4" t="s">
        <v>366</v>
      </c>
    </row>
    <row r="5" spans="1:3" x14ac:dyDescent="0.3">
      <c r="A5" t="s">
        <v>367</v>
      </c>
      <c r="B5" s="6">
        <v>0.7</v>
      </c>
      <c r="C5" t="s">
        <v>368</v>
      </c>
    </row>
    <row r="6" spans="1:3" x14ac:dyDescent="0.3">
      <c r="A6" t="s">
        <v>369</v>
      </c>
      <c r="B6" s="6">
        <v>0.5</v>
      </c>
      <c r="C6" t="s">
        <v>370</v>
      </c>
    </row>
    <row r="7" spans="1:3" x14ac:dyDescent="0.3">
      <c r="A7" t="s">
        <v>371</v>
      </c>
      <c r="B7" s="7">
        <v>120000</v>
      </c>
      <c r="C7" t="s">
        <v>372</v>
      </c>
    </row>
    <row r="8" spans="1:3" x14ac:dyDescent="0.3">
      <c r="A8" t="s">
        <v>373</v>
      </c>
      <c r="B8" s="8">
        <v>1.4999999999999999E-2</v>
      </c>
      <c r="C8" t="s">
        <v>374</v>
      </c>
    </row>
    <row r="9" spans="1:3" x14ac:dyDescent="0.3">
      <c r="A9" t="s">
        <v>375</v>
      </c>
      <c r="B9" s="6">
        <v>0.25</v>
      </c>
      <c r="C9" t="s">
        <v>370</v>
      </c>
    </row>
    <row r="10" spans="1:3" x14ac:dyDescent="0.3">
      <c r="A10" t="s">
        <v>376</v>
      </c>
      <c r="B10" s="5">
        <v>20</v>
      </c>
      <c r="C10" t="s">
        <v>377</v>
      </c>
    </row>
    <row r="11" spans="1:3" x14ac:dyDescent="0.3">
      <c r="A11" t="s">
        <v>378</v>
      </c>
      <c r="B11" s="9">
        <v>84.41</v>
      </c>
      <c r="C11" t="s">
        <v>379</v>
      </c>
    </row>
    <row r="12" spans="1:3" x14ac:dyDescent="0.3">
      <c r="A12" t="s">
        <v>380</v>
      </c>
      <c r="B12" s="7">
        <v>40000</v>
      </c>
      <c r="C12" t="s">
        <v>370</v>
      </c>
    </row>
    <row r="13" spans="1:3" x14ac:dyDescent="0.3">
      <c r="A13" t="s">
        <v>381</v>
      </c>
      <c r="B13" s="8">
        <v>0.03</v>
      </c>
      <c r="C13" t="s">
        <v>382</v>
      </c>
    </row>
    <row r="14" spans="1:3" x14ac:dyDescent="0.3">
      <c r="A14" t="s">
        <v>383</v>
      </c>
      <c r="B14" s="6">
        <v>0.5</v>
      </c>
      <c r="C14" t="s">
        <v>370</v>
      </c>
    </row>
    <row r="15" spans="1:3" x14ac:dyDescent="0.3">
      <c r="A15" t="s">
        <v>384</v>
      </c>
      <c r="B15" s="7">
        <v>10000000</v>
      </c>
      <c r="C15" t="s">
        <v>385</v>
      </c>
    </row>
    <row r="16" spans="1:3" x14ac:dyDescent="0.3">
      <c r="A16" t="s">
        <v>386</v>
      </c>
      <c r="B16" s="8">
        <v>0.02</v>
      </c>
      <c r="C16" t="s">
        <v>387</v>
      </c>
    </row>
    <row r="17" spans="1:3" x14ac:dyDescent="0.3">
      <c r="A17" t="s">
        <v>388</v>
      </c>
      <c r="B17" s="6">
        <v>0.7</v>
      </c>
      <c r="C17" t="s">
        <v>389</v>
      </c>
    </row>
    <row r="18" spans="1:3" x14ac:dyDescent="0.3">
      <c r="A18" t="s">
        <v>390</v>
      </c>
      <c r="B18" s="8">
        <v>0.01</v>
      </c>
      <c r="C18" t="s">
        <v>391</v>
      </c>
    </row>
    <row r="19" spans="1:3" x14ac:dyDescent="0.3">
      <c r="A19" t="s">
        <v>392</v>
      </c>
      <c r="B19" s="7">
        <v>10000</v>
      </c>
    </row>
    <row r="21" spans="1:3" x14ac:dyDescent="0.3">
      <c r="A21" s="2" t="s">
        <v>393</v>
      </c>
    </row>
    <row r="22" spans="1:3" x14ac:dyDescent="0.3">
      <c r="A22" t="s">
        <v>394</v>
      </c>
      <c r="B22" s="10">
        <f>$B$4*$B$5*$B$6</f>
        <v>3.4999999999999996E-2</v>
      </c>
    </row>
    <row r="23" spans="1:3" x14ac:dyDescent="0.3">
      <c r="A23" t="s">
        <v>395</v>
      </c>
      <c r="B23" s="3">
        <f>$B$3/B22</f>
        <v>2857.1428571428573</v>
      </c>
    </row>
    <row r="24" spans="1:3" x14ac:dyDescent="0.3">
      <c r="A24" t="s">
        <v>396</v>
      </c>
      <c r="B24" s="3">
        <f>$B$7*$B$8+$B$9*($B$10*$B$11*$B$14+$B$12*$B$13*$B$14)</f>
        <v>2161.0250000000001</v>
      </c>
    </row>
    <row r="25" spans="1:3" x14ac:dyDescent="0.3">
      <c r="A25" t="s">
        <v>397</v>
      </c>
      <c r="B25" s="3">
        <f>B24*$B$17</f>
        <v>1512.7175</v>
      </c>
    </row>
    <row r="26" spans="1:3" x14ac:dyDescent="0.3">
      <c r="A26" t="s">
        <v>398</v>
      </c>
      <c r="B26" s="3">
        <f>$B$15*$B$16</f>
        <v>200000</v>
      </c>
    </row>
    <row r="27" spans="1:3" x14ac:dyDescent="0.3">
      <c r="A27" t="s">
        <v>399</v>
      </c>
      <c r="B27" s="3">
        <f>B26*$B$17</f>
        <v>140000</v>
      </c>
    </row>
    <row r="28" spans="1:3" x14ac:dyDescent="0.3">
      <c r="A28" t="s">
        <v>400</v>
      </c>
      <c r="B28" s="3">
        <f>(1-$B$18)*B25+$B$18*B27</f>
        <v>2897.5903250000001</v>
      </c>
    </row>
    <row r="29" spans="1:3" x14ac:dyDescent="0.3">
      <c r="A29" t="s">
        <v>401</v>
      </c>
      <c r="B29" s="11">
        <f>B28/B23-1</f>
        <v>1.4156613749999991E-2</v>
      </c>
    </row>
    <row r="30" spans="1:3" x14ac:dyDescent="0.3">
      <c r="A30" t="s">
        <v>402</v>
      </c>
      <c r="B30" s="12">
        <f>B23/(B28/12)</f>
        <v>11.832491981320473</v>
      </c>
    </row>
    <row r="31" spans="1:3" x14ac:dyDescent="0.3">
      <c r="A31" t="s">
        <v>403</v>
      </c>
      <c r="B31" s="10">
        <f>(B23-B25)/(B27-B25)</f>
        <v>9.7079337024528391E-3</v>
      </c>
    </row>
    <row r="33" spans="1:6" x14ac:dyDescent="0.3">
      <c r="A33" s="2" t="s">
        <v>404</v>
      </c>
    </row>
    <row r="34" spans="1:6" x14ac:dyDescent="0.3">
      <c r="A34" t="s">
        <v>405</v>
      </c>
      <c r="B34" s="3">
        <f>$B$19*$B$3</f>
        <v>1000000</v>
      </c>
    </row>
    <row r="35" spans="1:6" x14ac:dyDescent="0.3">
      <c r="A35" t="s">
        <v>406</v>
      </c>
      <c r="B35" s="3">
        <f>$B$19*$B$4</f>
        <v>1000</v>
      </c>
    </row>
    <row r="36" spans="1:6" x14ac:dyDescent="0.3">
      <c r="A36" t="s">
        <v>407</v>
      </c>
      <c r="B36" s="3">
        <f>B35*$B$5</f>
        <v>700</v>
      </c>
    </row>
    <row r="37" spans="1:6" x14ac:dyDescent="0.3">
      <c r="A37" t="s">
        <v>408</v>
      </c>
      <c r="B37" s="3">
        <f>B36*$B$6</f>
        <v>350</v>
      </c>
    </row>
    <row r="38" spans="1:6" x14ac:dyDescent="0.3">
      <c r="A38" t="s">
        <v>409</v>
      </c>
      <c r="B38" s="12">
        <f>B37*$B$18</f>
        <v>3.5</v>
      </c>
    </row>
    <row r="39" spans="1:6" x14ac:dyDescent="0.3">
      <c r="A39" t="s">
        <v>410</v>
      </c>
      <c r="B39" s="3">
        <f>B37*B28</f>
        <v>1014156.61375</v>
      </c>
    </row>
    <row r="40" spans="1:6" x14ac:dyDescent="0.3">
      <c r="A40" t="s">
        <v>401</v>
      </c>
      <c r="B40" s="11">
        <f>B39/B34-1</f>
        <v>1.4156613749999991E-2</v>
      </c>
    </row>
    <row r="42" spans="1:6" x14ac:dyDescent="0.3">
      <c r="A42" s="2" t="s">
        <v>411</v>
      </c>
    </row>
    <row r="43" spans="1:6" x14ac:dyDescent="0.3">
      <c r="A43" s="1" t="s">
        <v>363</v>
      </c>
      <c r="B43" s="1" t="s">
        <v>395</v>
      </c>
      <c r="C43" s="1" t="s">
        <v>412</v>
      </c>
      <c r="D43" s="1" t="s">
        <v>413</v>
      </c>
      <c r="E43" s="1" t="s">
        <v>414</v>
      </c>
      <c r="F43" s="1" t="s">
        <v>415</v>
      </c>
    </row>
    <row r="44" spans="1:6" x14ac:dyDescent="0.3">
      <c r="A44">
        <v>60</v>
      </c>
      <c r="B44" s="3">
        <f>A44/$B$22</f>
        <v>1714.2857142857144</v>
      </c>
      <c r="C44" s="11">
        <f>((1-0)*$B$25+0*$B$27)/B44-1</f>
        <v>-0.11758145833333344</v>
      </c>
      <c r="D44" s="11">
        <f>((1-0.01)*$B$25+0.01*$B$27)/B44-1</f>
        <v>0.69026102291666658</v>
      </c>
      <c r="E44" s="11">
        <f>((1-0.03)*$B$25+0.03*$B$27)/B44-1</f>
        <v>2.3059459854166664</v>
      </c>
      <c r="F44" s="11">
        <f>((1-0.05)*$B$25+0.05*$B$27)/B44-1</f>
        <v>3.9216309479166656</v>
      </c>
    </row>
    <row r="45" spans="1:6" x14ac:dyDescent="0.3">
      <c r="A45">
        <v>100</v>
      </c>
      <c r="B45" s="3">
        <f>A45/$B$22</f>
        <v>2857.1428571428573</v>
      </c>
      <c r="C45" s="11">
        <f>((1-0)*$B$25+0*$B$27)/B45-1</f>
        <v>-0.47054887500000009</v>
      </c>
      <c r="D45" s="11">
        <f>((1-0.01)*$B$25+0.01*$B$27)/B45-1</f>
        <v>1.4156613749999991E-2</v>
      </c>
      <c r="E45" s="11">
        <f>((1-0.03)*$B$25+0.03*$B$27)/B45-1</f>
        <v>0.98356759124999993</v>
      </c>
      <c r="F45" s="11">
        <f>((1-0.05)*$B$25+0.05*$B$27)/B45-1</f>
        <v>1.9529785687499994</v>
      </c>
    </row>
    <row r="46" spans="1:6" x14ac:dyDescent="0.3">
      <c r="A46">
        <v>150</v>
      </c>
      <c r="B46" s="3">
        <f>A46/$B$22</f>
        <v>4285.7142857142862</v>
      </c>
      <c r="C46" s="11">
        <f>((1-0)*$B$25+0*$B$27)/B46-1</f>
        <v>-0.64703258333333336</v>
      </c>
      <c r="D46" s="11">
        <f>((1-0.01)*$B$25+0.01*$B$27)/B46-1</f>
        <v>-0.32389559083333341</v>
      </c>
      <c r="E46" s="11">
        <f>((1-0.03)*$B$25+0.03*$B$27)/B46-1</f>
        <v>0.32237839416666647</v>
      </c>
      <c r="F46" s="11">
        <f>((1-0.05)*$B$25+0.05*$B$27)/B46-1</f>
        <v>0.96865237916666613</v>
      </c>
    </row>
    <row r="47" spans="1:6" x14ac:dyDescent="0.3">
      <c r="A47">
        <v>190</v>
      </c>
      <c r="B47" s="3">
        <f>A47/$B$22</f>
        <v>5428.5714285714294</v>
      </c>
      <c r="C47" s="11">
        <f>((1-0)*$B$25+0*$B$27)/B47-1</f>
        <v>-0.72134151315789485</v>
      </c>
      <c r="D47" s="11">
        <f>((1-0.01)*$B$25+0.01*$B$27)/B47-1</f>
        <v>-0.46623336118421055</v>
      </c>
      <c r="E47" s="11">
        <f>((1-0.03)*$B$25+0.03*$B$27)/B47-1</f>
        <v>4.3982942763157729E-2</v>
      </c>
      <c r="F47" s="11">
        <f>((1-0.05)*$B$25+0.05*$B$27)/B47-1</f>
        <v>0.55419924671052589</v>
      </c>
    </row>
    <row r="50" spans="1:2" x14ac:dyDescent="0.3">
      <c r="A50" s="2" t="s">
        <v>416</v>
      </c>
    </row>
    <row r="51" spans="1:2" x14ac:dyDescent="0.3">
      <c r="A51" t="s">
        <v>417</v>
      </c>
      <c r="B51" s="6">
        <v>0.3</v>
      </c>
    </row>
    <row r="52" spans="1:2" x14ac:dyDescent="0.3">
      <c r="A52" t="s">
        <v>418</v>
      </c>
      <c r="B52" s="5">
        <v>150</v>
      </c>
    </row>
    <row r="53" spans="1:2" x14ac:dyDescent="0.3">
      <c r="A53" t="s">
        <v>419</v>
      </c>
      <c r="B53" s="8">
        <v>0.01</v>
      </c>
    </row>
    <row r="54" spans="1:2" x14ac:dyDescent="0.3">
      <c r="A54" t="s">
        <v>420</v>
      </c>
      <c r="B54" s="3">
        <f>$B$27*B51</f>
        <v>42000</v>
      </c>
    </row>
    <row r="55" spans="1:2" x14ac:dyDescent="0.3">
      <c r="A55" t="s">
        <v>421</v>
      </c>
      <c r="B55" s="3">
        <f>B52/B53</f>
        <v>15000</v>
      </c>
    </row>
    <row r="56" spans="1:2" x14ac:dyDescent="0.3">
      <c r="A56" t="s">
        <v>422</v>
      </c>
      <c r="B56" s="12">
        <f>B54/B55</f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Структура</vt:lpstr>
      <vt:lpstr>Маски</vt:lpstr>
      <vt:lpstr>Ключи</vt:lpstr>
      <vt:lpstr>Минус-слова</vt:lpstr>
      <vt:lpstr>Ключи 2-11</vt:lpstr>
      <vt:lpstr>Минус 2-11</vt:lpstr>
      <vt:lpstr>Unit-экономика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Тестовое задание Marketing Lead: Директ, семантика и экономика</dc:title>
  <dc:creator>Леонид Милихедин</dc:creator>
  <cp:lastModifiedBy>Леонид Милихедин</cp:lastModifiedBy>
  <dcterms:created xsi:type="dcterms:W3CDTF">2026-09-29T16:51:02Z</dcterms:created>
  <dcterms:modified xsi:type="dcterms:W3CDTF">2026-09-29T16:51:13Z</dcterms:modified>
</cp:coreProperties>
</file>